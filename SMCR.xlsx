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220"/>
  </bookViews>
  <sheets>
    <sheet name="RLC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<sst xmlns="http://schemas.openxmlformats.org/spreadsheetml/2006/main" count="142" uniqueCount="40">
  <si>
    <t>Method</t>
  </si>
  <si>
    <t>QA</t>
  </si>
  <si>
    <t>In Domain</t>
  </si>
  <si>
    <t>OOD</t>
  </si>
  <si>
    <t>Acc Avg.</t>
  </si>
  <si>
    <t>AUROC Avg.</t>
  </si>
  <si>
    <t>Brier Avg.</t>
  </si>
  <si>
    <t>ECE Avg.</t>
  </si>
  <si>
    <t>HotpotQA</t>
  </si>
  <si>
    <t>SimpleQA</t>
  </si>
  <si>
    <t>TriviaQA</t>
  </si>
  <si>
    <t>CommonsenseQA</t>
  </si>
  <si>
    <t>GPQA</t>
  </si>
  <si>
    <t>MATH-500</t>
  </si>
  <si>
    <t>GSM8K</t>
  </si>
  <si>
    <t>HotpotQA-Modified</t>
  </si>
  <si>
    <t>Acc.</t>
  </si>
  <si>
    <t>AUROC</t>
  </si>
  <si>
    <t>Brier</t>
  </si>
  <si>
    <t>ECE</t>
  </si>
  <si>
    <t>Qwen2.5-3B-Instruct</t>
  </si>
  <si>
    <t>Base</t>
  </si>
  <si>
    <t>RLVR</t>
  </si>
  <si>
    <t>RLVR + BCE Classifier</t>
  </si>
  <si>
    <t>RLVR + Brier Classifier</t>
  </si>
  <si>
    <t>Answer Probe</t>
  </si>
  <si>
    <t>RLCR</t>
  </si>
  <si>
    <t>RLCR-std</t>
  </si>
  <si>
    <t>SMCR-brier</t>
  </si>
  <si>
    <t>SMCR-brier-std</t>
  </si>
  <si>
    <t>SMCR-brier-scale-weight</t>
  </si>
  <si>
    <t>SMCR-only-brier</t>
  </si>
  <si>
    <t>SMCR-only-brier-std</t>
  </si>
  <si>
    <t>SMCR-ECE</t>
  </si>
  <si>
    <t>SMCR-log</t>
  </si>
  <si>
    <t>SMCR-spherical</t>
  </si>
  <si>
    <t>Qwen2.5-7B-Instruct</t>
  </si>
  <si>
    <t>Math</t>
  </si>
  <si>
    <t>Big-Math Digits</t>
  </si>
  <si>
    <t>SMCR-std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</si>
</sst>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);[Red]\(0.000\)"/>
    <numFmt numFmtId="177" formatCode="0.000_ "/>
  </numFmts>
  <fonts count="28">
    <font>
      <sz val="10"/>
      <color theme="1"/>
      <name val="等线"/>
      <charset val="134"/>
      <scheme val="minor"/>
    </font>
    <font>
      <b/>
      <sz val="10"/>
      <color rgb="FF000000"/>
      <name val="Times New Roman Regular"/>
      <charset val="134"/>
    </font>
    <font>
      <sz val="10"/>
      <color theme="1"/>
      <name val="Times New Roman Regular"/>
      <charset val="134"/>
    </font>
    <font>
      <sz val="10"/>
      <color rgb="FF000000"/>
      <name val="Times New Roman Regular"/>
      <charset val="134"/>
    </font>
    <font>
      <i/>
      <sz val="10"/>
      <color rgb="FF000000"/>
      <name val="Times New Roman Regular"/>
      <charset val="134"/>
    </font>
    <font>
      <sz val="10"/>
      <name val="Times New Roman Regular"/>
      <charset val="134"/>
    </font>
    <font>
      <sz val="10"/>
      <name val="Menlo"/>
      <charset val="134"/>
    </font>
    <font>
      <sz val="1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EF6C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rgb="FF1F2329"/>
      </left>
      <right/>
      <top/>
      <bottom style="thin">
        <color rgb="FF1F2329"/>
      </bottom>
      <diagonal/>
    </border>
    <border>
      <left style="thin">
        <color rgb="FF1F2329"/>
      </left>
      <right/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/>
      <bottom/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auto="1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3" borderId="14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17" applyNumberFormat="0" applyAlignment="0" applyProtection="0">
      <alignment vertical="center"/>
    </xf>
    <xf numFmtId="0" fontId="18" fillId="5" borderId="18" applyNumberFormat="0" applyAlignment="0" applyProtection="0">
      <alignment vertical="center"/>
    </xf>
    <xf numFmtId="0" fontId="19" fillId="5" borderId="17" applyNumberFormat="0" applyAlignment="0" applyProtection="0">
      <alignment vertical="center"/>
    </xf>
    <xf numFmtId="0" fontId="20" fillId="6" borderId="19" applyNumberFormat="0" applyAlignment="0" applyProtection="0">
      <alignment vertical="center"/>
    </xf>
    <xf numFmtId="0" fontId="21" fillId="0" borderId="20" applyNumberFormat="0" applyFill="0" applyAlignment="0" applyProtection="0">
      <alignment vertical="center"/>
    </xf>
    <xf numFmtId="0" fontId="22" fillId="0" borderId="21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32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2" fontId="1" fillId="0" borderId="0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0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2" fontId="4" fillId="0" borderId="2" xfId="0" applyNumberFormat="1" applyFont="1" applyBorder="1" applyAlignment="1">
      <alignment horizontal="center" vertic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4" fillId="0" borderId="9" xfId="0" applyNumberFormat="1" applyFont="1" applyBorder="1" applyAlignment="1">
      <alignment horizontal="center" vertical="center"/>
    </xf>
    <xf numFmtId="2" fontId="4" fillId="0" borderId="0" xfId="0" applyNumberFormat="1" applyFont="1" applyBorder="1" applyAlignment="1">
      <alignment horizontal="center" vertical="center"/>
    </xf>
    <xf numFmtId="2" fontId="4" fillId="0" borderId="10" xfId="0" applyNumberFormat="1" applyFont="1" applyBorder="1" applyAlignment="1">
      <alignment horizontal="center" vertical="center"/>
    </xf>
    <xf numFmtId="2" fontId="3" fillId="2" borderId="2" xfId="0" applyNumberFormat="1" applyFont="1" applyFill="1" applyBorder="1" applyAlignment="1">
      <alignment horizontal="center" vertical="center"/>
    </xf>
    <xf numFmtId="2" fontId="3" fillId="2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 wrapText="1"/>
    </xf>
    <xf numFmtId="176" fontId="5" fillId="0" borderId="0" xfId="0" applyNumberFormat="1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2" fontId="3" fillId="0" borderId="11" xfId="0" applyNumberFormat="1" applyFont="1" applyBorder="1" applyAlignment="1">
      <alignment horizontal="center" vertical="center"/>
    </xf>
    <xf numFmtId="177" fontId="3" fillId="0" borderId="12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176" fontId="5" fillId="0" borderId="2" xfId="0" applyNumberFormat="1" applyFont="1" applyBorder="1" applyAlignment="1">
      <alignment horizontal="center" vertical="center"/>
    </xf>
    <xf numFmtId="176" fontId="6" fillId="0" borderId="0" xfId="0" applyNumberFormat="1" applyFont="1" applyBorder="1" applyAlignment="1">
      <alignment horizontal="center" wrapText="1"/>
    </xf>
    <xf numFmtId="176" fontId="7" fillId="0" borderId="0" xfId="0" applyNumberFormat="1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58"/>
  <sheetViews>
    <sheetView tabSelected="1" topLeftCell="A16" workbookViewId="0">
      <pane xSplit="1" topLeftCell="B1" activePane="topRight" state="frozen"/>
      <selection/>
      <selection pane="topRight" activeCell="B46" sqref="B46:AG48"/>
    </sheetView>
  </sheetViews>
  <sheetFormatPr defaultColWidth="14" defaultRowHeight="15.2"/>
  <cols>
    <col min="1" max="1" width="24.5096153846154" style="1" customWidth="1"/>
    <col min="2" max="8" width="14" style="1"/>
    <col min="9" max="33" width="14" style="1" customWidth="1"/>
    <col min="34" max="16384" width="14" style="1"/>
  </cols>
  <sheetData>
    <row r="1" spans="1:37">
      <c r="A1" s="2" t="s">
        <v>0</v>
      </c>
      <c r="B1" s="3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4"/>
      <c r="AJ1" s="4"/>
      <c r="AK1" s="4"/>
    </row>
    <row r="2" spans="1:37">
      <c r="A2" s="2"/>
      <c r="B2" s="5" t="s">
        <v>2</v>
      </c>
      <c r="C2" s="5"/>
      <c r="D2" s="5"/>
      <c r="E2" s="6"/>
      <c r="F2" s="7" t="s">
        <v>3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8" t="s">
        <v>4</v>
      </c>
      <c r="AI2" s="8" t="s">
        <v>5</v>
      </c>
      <c r="AJ2" s="8" t="s">
        <v>6</v>
      </c>
      <c r="AK2" s="8" t="s">
        <v>7</v>
      </c>
    </row>
    <row r="3" spans="1:37">
      <c r="A3" s="2"/>
      <c r="B3" s="9" t="s">
        <v>8</v>
      </c>
      <c r="C3" s="9"/>
      <c r="D3" s="9"/>
      <c r="E3" s="9"/>
      <c r="F3" s="10" t="s">
        <v>9</v>
      </c>
      <c r="G3" s="11"/>
      <c r="H3" s="11"/>
      <c r="I3" s="12"/>
      <c r="J3" s="10" t="s">
        <v>10</v>
      </c>
      <c r="K3" s="10"/>
      <c r="L3" s="10"/>
      <c r="M3" s="10"/>
      <c r="N3" s="10" t="s">
        <v>11</v>
      </c>
      <c r="O3" s="10"/>
      <c r="P3" s="10"/>
      <c r="Q3" s="10"/>
      <c r="R3" s="10" t="s">
        <v>12</v>
      </c>
      <c r="S3" s="10"/>
      <c r="T3" s="10"/>
      <c r="U3" s="10"/>
      <c r="V3" s="10" t="s">
        <v>13</v>
      </c>
      <c r="W3" s="10"/>
      <c r="X3" s="10"/>
      <c r="Y3" s="10"/>
      <c r="Z3" s="10" t="s">
        <v>14</v>
      </c>
      <c r="AA3" s="10"/>
      <c r="AB3" s="10"/>
      <c r="AC3" s="10"/>
      <c r="AD3" s="10" t="s">
        <v>15</v>
      </c>
      <c r="AE3" s="10"/>
      <c r="AF3" s="10"/>
      <c r="AG3" s="10"/>
      <c r="AH3" s="8"/>
      <c r="AI3" s="8"/>
      <c r="AJ3" s="8"/>
      <c r="AK3" s="8"/>
    </row>
    <row r="4" ht="19" customHeight="1" spans="1:37">
      <c r="A4" s="2"/>
      <c r="B4" s="13" t="s">
        <v>16</v>
      </c>
      <c r="C4" s="14" t="s">
        <v>17</v>
      </c>
      <c r="D4" s="14" t="s">
        <v>18</v>
      </c>
      <c r="E4" s="15" t="s">
        <v>19</v>
      </c>
      <c r="F4" s="9" t="s">
        <v>16</v>
      </c>
      <c r="G4" s="16" t="s">
        <v>17</v>
      </c>
      <c r="H4" s="16" t="s">
        <v>18</v>
      </c>
      <c r="I4" s="17" t="s">
        <v>19</v>
      </c>
      <c r="J4" s="13" t="s">
        <v>16</v>
      </c>
      <c r="K4" s="14" t="s">
        <v>17</v>
      </c>
      <c r="L4" s="14" t="s">
        <v>18</v>
      </c>
      <c r="M4" s="15" t="s">
        <v>19</v>
      </c>
      <c r="N4" s="13" t="s">
        <v>16</v>
      </c>
      <c r="O4" s="14" t="s">
        <v>17</v>
      </c>
      <c r="P4" s="14" t="s">
        <v>18</v>
      </c>
      <c r="Q4" s="15" t="s">
        <v>19</v>
      </c>
      <c r="R4" s="13" t="s">
        <v>16</v>
      </c>
      <c r="S4" s="14" t="s">
        <v>17</v>
      </c>
      <c r="T4" s="14" t="s">
        <v>18</v>
      </c>
      <c r="U4" s="15" t="s">
        <v>19</v>
      </c>
      <c r="V4" s="13" t="s">
        <v>16</v>
      </c>
      <c r="W4" s="14" t="s">
        <v>17</v>
      </c>
      <c r="X4" s="14" t="s">
        <v>18</v>
      </c>
      <c r="Y4" s="15" t="s">
        <v>19</v>
      </c>
      <c r="Z4" s="13" t="s">
        <v>16</v>
      </c>
      <c r="AA4" s="14" t="s">
        <v>17</v>
      </c>
      <c r="AB4" s="14" t="s">
        <v>18</v>
      </c>
      <c r="AC4" s="15" t="s">
        <v>19</v>
      </c>
      <c r="AD4" s="13" t="s">
        <v>16</v>
      </c>
      <c r="AE4" s="14" t="s">
        <v>17</v>
      </c>
      <c r="AF4" s="14" t="s">
        <v>18</v>
      </c>
      <c r="AG4" s="15" t="s">
        <v>19</v>
      </c>
      <c r="AH4" s="8"/>
      <c r="AI4" s="8"/>
      <c r="AJ4" s="8"/>
      <c r="AK4" s="8"/>
    </row>
    <row r="5" spans="1:37">
      <c r="A5" s="18" t="s">
        <v>20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</row>
    <row r="6" spans="1:37">
      <c r="A6" s="7" t="s">
        <v>21</v>
      </c>
      <c r="B6" s="20">
        <v>0.459</v>
      </c>
      <c r="C6" s="20">
        <v>0.559838353086151</v>
      </c>
      <c r="D6" s="20">
        <v>0.5002526</v>
      </c>
      <c r="E6" s="20">
        <v>0.50314</v>
      </c>
      <c r="F6" s="20">
        <v>0.0929264909847434</v>
      </c>
      <c r="G6" s="20">
        <v>0.591062906669506</v>
      </c>
      <c r="H6" s="20">
        <v>0.705082917244567</v>
      </c>
      <c r="I6" s="20">
        <v>0.726558021266759</v>
      </c>
      <c r="J6" s="20">
        <v>0.482</v>
      </c>
      <c r="K6" s="20">
        <v>0.581368954164597</v>
      </c>
      <c r="L6" s="20">
        <v>0.46800755</v>
      </c>
      <c r="M6" s="20">
        <v>0.473095</v>
      </c>
      <c r="N6" s="21">
        <v>0.86076986076986</v>
      </c>
      <c r="O6" s="21">
        <v>0.619443667095763</v>
      </c>
      <c r="P6" s="21">
        <v>0.127618755118755</v>
      </c>
      <c r="Q6" s="21">
        <v>0.115929565929565</v>
      </c>
      <c r="R6" s="21">
        <v>0.446428571428571</v>
      </c>
      <c r="S6" s="21">
        <v>0.496441532258064</v>
      </c>
      <c r="T6" s="21">
        <v>0.515220957589285</v>
      </c>
      <c r="U6" s="20">
        <v>0.515216517857142</v>
      </c>
      <c r="V6" s="20">
        <v>0.516</v>
      </c>
      <c r="W6" s="20">
        <v>0.546303414696649</v>
      </c>
      <c r="X6" s="20">
        <v>0.472356200708616</v>
      </c>
      <c r="Y6" s="20">
        <v>0.474764523809523</v>
      </c>
      <c r="Z6" s="20">
        <v>0.733889310083396</v>
      </c>
      <c r="AA6" s="20">
        <v>0.53642043982953</v>
      </c>
      <c r="AB6" s="20">
        <v>0.260898407884761</v>
      </c>
      <c r="AC6" s="20">
        <v>0.26163760424564</v>
      </c>
      <c r="AD6" s="20"/>
      <c r="AE6" s="20"/>
      <c r="AF6" s="20"/>
      <c r="AG6" s="20"/>
      <c r="AH6" s="22">
        <f>AVERAGE(AD6,Z6,V6,R6,N6,J6,F6)</f>
        <v>0.522002372211095</v>
      </c>
      <c r="AI6" s="22">
        <f t="shared" ref="AI6:AK6" si="0">AVERAGE(AE6,AA6,W6,S6,O6,K6,G6)</f>
        <v>0.561840152452352</v>
      </c>
      <c r="AJ6" s="22">
        <f t="shared" si="0"/>
        <v>0.424864131424331</v>
      </c>
      <c r="AK6" s="22">
        <f t="shared" si="0"/>
        <v>0.427866872184771</v>
      </c>
    </row>
    <row r="7" spans="1:37">
      <c r="A7" s="7" t="s">
        <v>22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1"/>
      <c r="O7" s="21"/>
      <c r="P7" s="21"/>
      <c r="Q7" s="21"/>
      <c r="R7" s="21"/>
      <c r="S7" s="21"/>
      <c r="T7" s="21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2" t="e">
        <f t="shared" ref="AH7:AH17" si="1">AVERAGE(AD7,Z7,V7,R7,N7,J7,F7)</f>
        <v>#DIV/0!</v>
      </c>
      <c r="AI7" s="22" t="e">
        <f t="shared" ref="AI7:AI17" si="2">AVERAGE(AE7,AA7,W7,S7,O7,K7,G7)</f>
        <v>#DIV/0!</v>
      </c>
      <c r="AJ7" s="22" t="e">
        <f t="shared" ref="AJ7:AJ17" si="3">AVERAGE(AF7,AB7,X7,T7,P7,L7,H7)</f>
        <v>#DIV/0!</v>
      </c>
      <c r="AK7" s="22" t="e">
        <f t="shared" ref="AK7:AK17" si="4">AVERAGE(AG7,AC7,Y7,U7,Q7,M7,I7)</f>
        <v>#DIV/0!</v>
      </c>
    </row>
    <row r="8" spans="1:37">
      <c r="A8" s="7" t="s">
        <v>23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1"/>
      <c r="O8" s="21"/>
      <c r="P8" s="21"/>
      <c r="Q8" s="21"/>
      <c r="R8" s="21"/>
      <c r="S8" s="21"/>
      <c r="T8" s="21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2" t="e">
        <f t="shared" si="1"/>
        <v>#DIV/0!</v>
      </c>
      <c r="AI8" s="22" t="e">
        <f t="shared" si="2"/>
        <v>#DIV/0!</v>
      </c>
      <c r="AJ8" s="22" t="e">
        <f t="shared" si="3"/>
        <v>#DIV/0!</v>
      </c>
      <c r="AK8" s="22" t="e">
        <f t="shared" si="4"/>
        <v>#DIV/0!</v>
      </c>
    </row>
    <row r="9" spans="1:37">
      <c r="A9" s="7" t="s">
        <v>24</v>
      </c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1"/>
      <c r="O9" s="21"/>
      <c r="P9" s="21"/>
      <c r="Q9" s="21"/>
      <c r="R9" s="21"/>
      <c r="S9" s="21"/>
      <c r="T9" s="21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2" t="e">
        <f t="shared" si="1"/>
        <v>#DIV/0!</v>
      </c>
      <c r="AI9" s="22" t="e">
        <f t="shared" si="2"/>
        <v>#DIV/0!</v>
      </c>
      <c r="AJ9" s="22" t="e">
        <f t="shared" si="3"/>
        <v>#DIV/0!</v>
      </c>
      <c r="AK9" s="22" t="e">
        <f t="shared" si="4"/>
        <v>#DIV/0!</v>
      </c>
    </row>
    <row r="10" spans="1:37">
      <c r="A10" s="7" t="s">
        <v>25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1"/>
      <c r="O10" s="21"/>
      <c r="P10" s="21"/>
      <c r="Q10" s="21"/>
      <c r="R10" s="21"/>
      <c r="S10" s="21"/>
      <c r="T10" s="21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2" t="e">
        <f t="shared" si="1"/>
        <v>#DIV/0!</v>
      </c>
      <c r="AI10" s="22" t="e">
        <f t="shared" si="2"/>
        <v>#DIV/0!</v>
      </c>
      <c r="AJ10" s="22" t="e">
        <f t="shared" si="3"/>
        <v>#DIV/0!</v>
      </c>
      <c r="AK10" s="22" t="e">
        <f t="shared" si="4"/>
        <v>#DIV/0!</v>
      </c>
    </row>
    <row r="11" spans="1:37">
      <c r="A11" s="7" t="s">
        <v>26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1"/>
      <c r="O11" s="21"/>
      <c r="P11" s="21"/>
      <c r="Q11" s="21"/>
      <c r="R11" s="21"/>
      <c r="S11" s="21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2" t="e">
        <f t="shared" si="1"/>
        <v>#DIV/0!</v>
      </c>
      <c r="AI11" s="22" t="e">
        <f t="shared" si="2"/>
        <v>#DIV/0!</v>
      </c>
      <c r="AJ11" s="22" t="e">
        <f t="shared" si="3"/>
        <v>#DIV/0!</v>
      </c>
      <c r="AK11" s="22" t="e">
        <f t="shared" si="4"/>
        <v>#DIV/0!</v>
      </c>
    </row>
    <row r="12" spans="1:37">
      <c r="A12" s="7" t="s">
        <v>27</v>
      </c>
      <c r="B12" s="20">
        <v>0.586</v>
      </c>
      <c r="C12" s="20">
        <v>0.628260457370859</v>
      </c>
      <c r="D12" s="20">
        <v>0.315096278</v>
      </c>
      <c r="E12" s="20">
        <v>0.297572</v>
      </c>
      <c r="F12" s="20">
        <v>0.0427646786870087</v>
      </c>
      <c r="G12" s="20">
        <v>0.846724580170607</v>
      </c>
      <c r="H12" s="20">
        <v>0.091930148404993</v>
      </c>
      <c r="I12" s="20">
        <v>0.0908756356911696</v>
      </c>
      <c r="J12" s="20">
        <v>0.483</v>
      </c>
      <c r="K12" s="20">
        <v>0.738425620016739</v>
      </c>
      <c r="L12" s="20">
        <v>0.267132833</v>
      </c>
      <c r="M12" s="20">
        <v>0.239641999999999</v>
      </c>
      <c r="N12" s="21">
        <v>0.85995085995086</v>
      </c>
      <c r="O12" s="21">
        <v>0.700420495683653</v>
      </c>
      <c r="P12" s="21">
        <v>0.195346235872235</v>
      </c>
      <c r="Q12" s="21">
        <v>0.213059787059787</v>
      </c>
      <c r="R12" s="21">
        <v>0.386160714285714</v>
      </c>
      <c r="S12" s="21">
        <v>0.530825013137151</v>
      </c>
      <c r="T12" s="21">
        <v>0.416652927085813</v>
      </c>
      <c r="U12" s="20">
        <v>0.349302157738095</v>
      </c>
      <c r="V12" s="20">
        <v>0.546</v>
      </c>
      <c r="W12" s="20">
        <v>0.589412789853318</v>
      </c>
      <c r="X12" s="20">
        <v>0.388572222164535</v>
      </c>
      <c r="Y12" s="20">
        <v>0.385748171428571</v>
      </c>
      <c r="Z12" s="20">
        <v>0.780894617134192</v>
      </c>
      <c r="AA12" s="20">
        <v>0.55036953673531</v>
      </c>
      <c r="AB12" s="20">
        <v>0.204843532495816</v>
      </c>
      <c r="AC12" s="20">
        <v>0.207834774642204</v>
      </c>
      <c r="AD12" s="20">
        <v>0.402</v>
      </c>
      <c r="AE12" s="20">
        <v>0.799339423284913</v>
      </c>
      <c r="AF12" s="20">
        <v>0.223540506000596</v>
      </c>
      <c r="AG12" s="20">
        <v>0.213893999997019</v>
      </c>
      <c r="AH12" s="22">
        <f t="shared" si="1"/>
        <v>0.500110124293968</v>
      </c>
      <c r="AI12" s="22">
        <f t="shared" si="2"/>
        <v>0.679359636983099</v>
      </c>
      <c r="AJ12" s="22">
        <f t="shared" si="3"/>
        <v>0.255431200717713</v>
      </c>
      <c r="AK12" s="22">
        <f t="shared" si="4"/>
        <v>0.242908075222406</v>
      </c>
    </row>
    <row r="13" spans="1:37">
      <c r="A13" s="7" t="s">
        <v>28</v>
      </c>
      <c r="B13" s="20">
        <v>0.586</v>
      </c>
      <c r="C13" s="20">
        <v>0.638950718042571</v>
      </c>
      <c r="D13" s="20">
        <v>0.2344575</v>
      </c>
      <c r="E13" s="20">
        <v>0.0625499999999999</v>
      </c>
      <c r="F13" s="20">
        <v>0.110494683310217</v>
      </c>
      <c r="G13" s="20">
        <v>0.597502968449621</v>
      </c>
      <c r="H13" s="20">
        <v>0.243091192787794</v>
      </c>
      <c r="I13" s="20">
        <v>0.326895515487748</v>
      </c>
      <c r="J13" s="20">
        <v>0.5025</v>
      </c>
      <c r="K13" s="20">
        <v>0.717470436760919</v>
      </c>
      <c r="L13" s="20">
        <v>0.23443</v>
      </c>
      <c r="M13" s="20">
        <v>0.140599999999999</v>
      </c>
      <c r="N13" s="21">
        <v>0.882882882882882</v>
      </c>
      <c r="O13" s="21">
        <v>0.698794711781724</v>
      </c>
      <c r="P13" s="21">
        <v>0.197252252252252</v>
      </c>
      <c r="Q13" s="21">
        <v>0.305405405405405</v>
      </c>
      <c r="R13" s="21">
        <v>0.395089285714285</v>
      </c>
      <c r="S13" s="21">
        <v>0.558206683761752</v>
      </c>
      <c r="T13" s="21">
        <v>0.251286607142857</v>
      </c>
      <c r="U13" s="20">
        <v>0.0984821428571428</v>
      </c>
      <c r="V13" s="20">
        <v>0.502</v>
      </c>
      <c r="W13" s="20">
        <v>0.724947599161586</v>
      </c>
      <c r="X13" s="20">
        <v>0.236307252009876</v>
      </c>
      <c r="Y13" s="20">
        <v>0.150862844444444</v>
      </c>
      <c r="Z13" s="20">
        <v>0.685367702805155</v>
      </c>
      <c r="AA13" s="20">
        <v>0.641724864058001</v>
      </c>
      <c r="AB13" s="20">
        <v>0.201628885519332</v>
      </c>
      <c r="AC13" s="20">
        <v>0.0518802122820319</v>
      </c>
      <c r="AD13" s="20"/>
      <c r="AE13" s="20"/>
      <c r="AF13" s="20"/>
      <c r="AG13" s="20"/>
      <c r="AH13" s="22">
        <f t="shared" si="1"/>
        <v>0.513055759118756</v>
      </c>
      <c r="AI13" s="22">
        <f t="shared" si="2"/>
        <v>0.656441210662267</v>
      </c>
      <c r="AJ13" s="22">
        <f t="shared" si="3"/>
        <v>0.227332698285352</v>
      </c>
      <c r="AK13" s="22">
        <f t="shared" si="4"/>
        <v>0.179021020079462</v>
      </c>
    </row>
    <row r="14" ht="19" customHeight="1" spans="1:37">
      <c r="A14" s="7" t="s">
        <v>29</v>
      </c>
      <c r="B14" s="20">
        <v>0.607</v>
      </c>
      <c r="C14" s="20">
        <v>0.653233480471681</v>
      </c>
      <c r="D14" s="20">
        <v>0.29614844201</v>
      </c>
      <c r="E14" s="20">
        <v>0.2671919</v>
      </c>
      <c r="F14" s="20">
        <v>0.0998613037447988</v>
      </c>
      <c r="G14" s="20">
        <v>0.59495377503852</v>
      </c>
      <c r="H14" s="20">
        <v>0.275740690709662</v>
      </c>
      <c r="I14" s="20">
        <v>0.275088280166435</v>
      </c>
      <c r="J14" s="20">
        <v>0.5035</v>
      </c>
      <c r="K14" s="20">
        <v>0.700465822825318</v>
      </c>
      <c r="L14" s="20">
        <v>0.289524452005</v>
      </c>
      <c r="M14" s="20">
        <v>0.25555895</v>
      </c>
      <c r="N14" s="21">
        <v>0.874692874692874</v>
      </c>
      <c r="O14" s="21">
        <v>0.746585150914298</v>
      </c>
      <c r="P14" s="21">
        <v>0.174102375102375</v>
      </c>
      <c r="Q14" s="21">
        <v>0.209598689598689</v>
      </c>
      <c r="R14" s="21">
        <v>0.399553571428571</v>
      </c>
      <c r="S14" s="21">
        <v>0.51661440053166</v>
      </c>
      <c r="T14" s="21">
        <v>0.339043936021893</v>
      </c>
      <c r="U14" s="20">
        <v>0.256978962797619</v>
      </c>
      <c r="V14" s="20">
        <v>0.57</v>
      </c>
      <c r="W14" s="20">
        <v>0.681901264789881</v>
      </c>
      <c r="X14" s="20">
        <v>0.281293208349956</v>
      </c>
      <c r="Y14" s="20">
        <v>0.240755015384615</v>
      </c>
      <c r="Z14" s="20">
        <v>0.774071266110689</v>
      </c>
      <c r="AA14" s="20">
        <v>0.643204122816819</v>
      </c>
      <c r="AB14" s="20">
        <v>0.192783497198105</v>
      </c>
      <c r="AC14" s="20">
        <v>0.177253803262465</v>
      </c>
      <c r="AD14" s="20">
        <v>0.432</v>
      </c>
      <c r="AE14" s="20">
        <v>0.792017149191445</v>
      </c>
      <c r="AF14" s="20">
        <v>0.245089374019999</v>
      </c>
      <c r="AG14" s="20">
        <v>0.2325658</v>
      </c>
      <c r="AH14" s="22">
        <f t="shared" si="1"/>
        <v>0.521954145139562</v>
      </c>
      <c r="AI14" s="22">
        <f t="shared" si="2"/>
        <v>0.66796309801542</v>
      </c>
      <c r="AJ14" s="22">
        <f t="shared" si="3"/>
        <v>0.256796790486713</v>
      </c>
      <c r="AK14" s="22">
        <f t="shared" si="4"/>
        <v>0.23539992874426</v>
      </c>
    </row>
    <row r="15" ht="19" customHeight="1" spans="1:37">
      <c r="A15" s="7" t="s">
        <v>30</v>
      </c>
      <c r="B15" s="20">
        <v>0.592</v>
      </c>
      <c r="C15" s="20">
        <v>0.645139854928457</v>
      </c>
      <c r="D15" s="20">
        <v>0.236365</v>
      </c>
      <c r="E15" s="20">
        <v>0.0888</v>
      </c>
      <c r="F15" s="20">
        <v>0.101017105871474</v>
      </c>
      <c r="G15" s="20">
        <v>0.642793468404989</v>
      </c>
      <c r="H15" s="20">
        <v>0.151091655108645</v>
      </c>
      <c r="I15" s="20">
        <v>0.190765141007859</v>
      </c>
      <c r="J15" s="20">
        <v>0.5155</v>
      </c>
      <c r="K15" s="20">
        <v>0.737934154722688</v>
      </c>
      <c r="L15" s="20">
        <v>0.20769125</v>
      </c>
      <c r="M15" s="20">
        <v>0.0273749999999999</v>
      </c>
      <c r="N15" s="21">
        <v>0.879606879606879</v>
      </c>
      <c r="O15" s="21">
        <v>0.734272666235954</v>
      </c>
      <c r="P15" s="21">
        <v>0.271234643734643</v>
      </c>
      <c r="Q15" s="21">
        <v>0.415683865683865</v>
      </c>
      <c r="R15" s="21">
        <v>0.390625</v>
      </c>
      <c r="S15" s="21">
        <v>0.506321297749869</v>
      </c>
      <c r="T15" s="21">
        <v>0.255438392857142</v>
      </c>
      <c r="U15" s="20">
        <v>0.102053571428571</v>
      </c>
      <c r="V15" s="20">
        <v>0.506</v>
      </c>
      <c r="W15" s="20">
        <v>0.740506632955145</v>
      </c>
      <c r="X15" s="20">
        <v>0.20852358592</v>
      </c>
      <c r="Y15" s="20">
        <v>0.0715127999999999</v>
      </c>
      <c r="Z15" s="20">
        <v>0.739196360879454</v>
      </c>
      <c r="AA15" s="20">
        <v>0.730682766845557</v>
      </c>
      <c r="AB15" s="20">
        <v>0.204828430652482</v>
      </c>
      <c r="AC15" s="20">
        <v>0.203312983320697</v>
      </c>
      <c r="AD15" s="20">
        <v>0.424</v>
      </c>
      <c r="AE15" s="20">
        <v>0.784386464884696</v>
      </c>
      <c r="AF15" s="20">
        <v>0.18588</v>
      </c>
      <c r="AG15" s="20">
        <v>0.0256</v>
      </c>
      <c r="AH15" s="22">
        <f t="shared" si="1"/>
        <v>0.507992192336829</v>
      </c>
      <c r="AI15" s="22">
        <f t="shared" si="2"/>
        <v>0.696699635971271</v>
      </c>
      <c r="AJ15" s="22">
        <f t="shared" si="3"/>
        <v>0.212098279753273</v>
      </c>
      <c r="AK15" s="22">
        <f t="shared" si="4"/>
        <v>0.148043337348713</v>
      </c>
    </row>
    <row r="16" ht="19" customHeight="1" spans="1:37">
      <c r="A16" s="7" t="s">
        <v>31</v>
      </c>
      <c r="B16" s="20">
        <v>0.486</v>
      </c>
      <c r="C16" s="20">
        <v>0.644941634241245</v>
      </c>
      <c r="D16" s="20">
        <v>0.242802499999999</v>
      </c>
      <c r="E16" s="20">
        <v>0.09255</v>
      </c>
      <c r="F16" s="20">
        <v>0.0862228386500231</v>
      </c>
      <c r="G16" s="20">
        <v>0.686647871199733</v>
      </c>
      <c r="H16" s="20">
        <v>0.126937702265372</v>
      </c>
      <c r="I16" s="20">
        <v>0.16219371243643</v>
      </c>
      <c r="J16" s="20">
        <v>0.466</v>
      </c>
      <c r="K16" s="20">
        <v>0.754465146838983</v>
      </c>
      <c r="L16" s="20">
        <v>0.200336249999999</v>
      </c>
      <c r="M16" s="20">
        <v>0.0242749999999999</v>
      </c>
      <c r="N16" s="20">
        <v>0.846846846846846</v>
      </c>
      <c r="O16" s="20">
        <v>0.709882704620445</v>
      </c>
      <c r="P16" s="20">
        <v>0.300735053235053</v>
      </c>
      <c r="Q16" s="20">
        <v>0.423218673218673</v>
      </c>
      <c r="R16" s="20">
        <v>0.419642857142857</v>
      </c>
      <c r="S16" s="20">
        <v>0.534349427168576</v>
      </c>
      <c r="T16" s="20">
        <v>0.259198875</v>
      </c>
      <c r="U16" s="20">
        <v>0.115392857142857</v>
      </c>
      <c r="V16" s="20">
        <v>0.484</v>
      </c>
      <c r="W16" s="20">
        <v>0.693382023191748</v>
      </c>
      <c r="X16" s="20">
        <v>0.229448446609876</v>
      </c>
      <c r="Y16" s="20">
        <v>0.0940892444444445</v>
      </c>
      <c r="Z16" s="20">
        <v>0.736921910538286</v>
      </c>
      <c r="AA16" s="20">
        <v>0.628915098255476</v>
      </c>
      <c r="AB16" s="20">
        <v>0.20057073540561</v>
      </c>
      <c r="AC16" s="20">
        <v>0.118119787717968</v>
      </c>
      <c r="AD16" s="20">
        <v>0.484</v>
      </c>
      <c r="AE16" s="20">
        <v>0.693382023191748</v>
      </c>
      <c r="AF16" s="20">
        <v>0.229448446609876</v>
      </c>
      <c r="AG16" s="20">
        <v>0.0940892444444445</v>
      </c>
      <c r="AH16" s="22">
        <f t="shared" si="1"/>
        <v>0.503376350454002</v>
      </c>
      <c r="AI16" s="22">
        <f t="shared" si="2"/>
        <v>0.67157489920953</v>
      </c>
      <c r="AJ16" s="22">
        <f t="shared" si="3"/>
        <v>0.220953644160827</v>
      </c>
      <c r="AK16" s="22">
        <f t="shared" si="4"/>
        <v>0.147339788486402</v>
      </c>
    </row>
    <row r="17" ht="19" customHeight="1" spans="1:37">
      <c r="A17" s="7" t="s">
        <v>32</v>
      </c>
      <c r="B17" s="20">
        <v>0.481</v>
      </c>
      <c r="C17" s="20">
        <v>0.681429984898192</v>
      </c>
      <c r="D17" s="20">
        <v>0.3126195</v>
      </c>
      <c r="E17" s="20">
        <v>0.28549</v>
      </c>
      <c r="F17" s="20">
        <v>0.0358298659269533</v>
      </c>
      <c r="G17" s="20">
        <v>0.867401644225489</v>
      </c>
      <c r="H17" s="20">
        <v>0.0428304905224225</v>
      </c>
      <c r="I17" s="20">
        <v>0.0391095700416088</v>
      </c>
      <c r="J17" s="20">
        <v>0.45</v>
      </c>
      <c r="K17" s="20">
        <v>0.841053535353535</v>
      </c>
      <c r="L17" s="20">
        <v>0.18677485</v>
      </c>
      <c r="M17" s="20">
        <v>0.142215</v>
      </c>
      <c r="N17" s="20">
        <v>0.864045864045864</v>
      </c>
      <c r="O17" s="20">
        <v>0.700642379946325</v>
      </c>
      <c r="P17" s="20">
        <v>0.300390008190008</v>
      </c>
      <c r="Q17" s="20">
        <v>0.345520065520065</v>
      </c>
      <c r="R17" s="20">
        <v>0.399553571428571</v>
      </c>
      <c r="S17" s="20">
        <v>0.555440177774085</v>
      </c>
      <c r="T17" s="20">
        <v>0.312605678571428</v>
      </c>
      <c r="U17" s="20">
        <v>0.252205357142857</v>
      </c>
      <c r="V17" s="20">
        <v>0.444</v>
      </c>
      <c r="W17" s="20">
        <v>0.760094627001101</v>
      </c>
      <c r="X17" s="20">
        <v>0.2376051007</v>
      </c>
      <c r="Y17" s="20">
        <v>0.2070482</v>
      </c>
      <c r="Z17" s="20">
        <v>0.743745261561789</v>
      </c>
      <c r="AA17" s="20">
        <v>0.695020477836286</v>
      </c>
      <c r="AB17" s="20">
        <v>0.189060279853439</v>
      </c>
      <c r="AC17" s="20">
        <v>0.154123292704263</v>
      </c>
      <c r="AD17" s="20">
        <v>0.444</v>
      </c>
      <c r="AE17" s="20">
        <v>0.760094627001101</v>
      </c>
      <c r="AF17" s="20">
        <v>0.23760510078</v>
      </c>
      <c r="AG17" s="20">
        <v>0.2070482</v>
      </c>
      <c r="AH17" s="22">
        <f t="shared" si="1"/>
        <v>0.483024937566168</v>
      </c>
      <c r="AI17" s="22">
        <f t="shared" si="2"/>
        <v>0.73996392416256</v>
      </c>
      <c r="AJ17" s="22">
        <f t="shared" si="3"/>
        <v>0.2152673583739</v>
      </c>
      <c r="AK17" s="22">
        <f t="shared" si="4"/>
        <v>0.192467097915542</v>
      </c>
    </row>
    <row r="18" ht="19" customHeight="1" spans="1:37">
      <c r="A18" s="7" t="s">
        <v>33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2" t="e">
        <f>AVERAGE(AD18,Z18,V18,R18,N18,J18,F18)</f>
        <v>#DIV/0!</v>
      </c>
      <c r="AI18" s="22" t="e">
        <f>AVERAGE(AE18,AA18,W18,S18,O18,K18,G18)</f>
        <v>#DIV/0!</v>
      </c>
      <c r="AJ18" s="22" t="e">
        <f>AVERAGE(AF18,AB18,X18,T18,P18,L18,H18)</f>
        <v>#DIV/0!</v>
      </c>
      <c r="AK18" s="22" t="e">
        <f>AVERAGE(AG18,AC18,Y18,U18,Q18,M18,I18)</f>
        <v>#DIV/0!</v>
      </c>
    </row>
    <row r="19" ht="19" customHeight="1" spans="1:37">
      <c r="A19" s="7" t="s">
        <v>34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2" t="e">
        <f>AVERAGE(AD19,Z19,V19,R19,N19,J19,F19)</f>
        <v>#DIV/0!</v>
      </c>
      <c r="AI19" s="22" t="e">
        <f>AVERAGE(AE19,AA19,W19,S19,O19,K19,G19)</f>
        <v>#DIV/0!</v>
      </c>
      <c r="AJ19" s="22" t="e">
        <f>AVERAGE(AF19,AB19,X19,T19,P19,L19,H19)</f>
        <v>#DIV/0!</v>
      </c>
      <c r="AK19" s="22" t="e">
        <f>AVERAGE(AG19,AC19,Y19,U19,Q19,M19,I19)</f>
        <v>#DIV/0!</v>
      </c>
    </row>
    <row r="20" ht="19" customHeight="1" spans="1:37">
      <c r="A20" s="23" t="s">
        <v>35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2" t="e">
        <f>AVERAGE(AD20,Z20,V20,R20,N20,J20,F20)</f>
        <v>#DIV/0!</v>
      </c>
      <c r="AI20" s="22" t="e">
        <f>AVERAGE(AE20,AA20,W20,S20,O20,K20,G20)</f>
        <v>#DIV/0!</v>
      </c>
      <c r="AJ20" s="22" t="e">
        <f>AVERAGE(AF20,AB20,X20,T20,P20,L20,H20)</f>
        <v>#DIV/0!</v>
      </c>
      <c r="AK20" s="22" t="e">
        <f>AVERAGE(AG20,AC20,Y20,U20,Q20,M20,I20)</f>
        <v>#DIV/0!</v>
      </c>
    </row>
    <row r="21" spans="1:37">
      <c r="A21" s="18" t="s">
        <v>36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</row>
    <row r="22" spans="1:37">
      <c r="A22" s="7" t="s">
        <v>21</v>
      </c>
      <c r="B22" s="21">
        <v>0.449</v>
      </c>
      <c r="C22" s="21">
        <v>0.523530814595046</v>
      </c>
      <c r="D22" s="21">
        <v>0.5431775</v>
      </c>
      <c r="E22" s="21">
        <v>0.54615</v>
      </c>
      <c r="F22" s="21">
        <v>0.118354137771613</v>
      </c>
      <c r="G22" s="21">
        <v>0.608906434353696</v>
      </c>
      <c r="H22" s="21">
        <v>0.707916088765603</v>
      </c>
      <c r="I22" s="21">
        <v>0.767267683772538</v>
      </c>
      <c r="J22" s="21">
        <v>0.5805</v>
      </c>
      <c r="K22" s="21">
        <v>0.576300279546115</v>
      </c>
      <c r="L22" s="21">
        <v>0.40117125</v>
      </c>
      <c r="M22" s="21">
        <v>0.405724999999999</v>
      </c>
      <c r="N22" s="21">
        <v>0.886977886977886</v>
      </c>
      <c r="O22" s="21">
        <v>0.68519076103684</v>
      </c>
      <c r="P22" s="21">
        <v>0.10002457002457</v>
      </c>
      <c r="Q22" s="21">
        <v>0.0753480753480753</v>
      </c>
      <c r="R22" s="21">
        <v>0.475446428571428</v>
      </c>
      <c r="S22" s="21">
        <v>0.531045849565478</v>
      </c>
      <c r="T22" s="21">
        <v>0.481640625</v>
      </c>
      <c r="U22" s="21">
        <v>0.481026785714285</v>
      </c>
      <c r="V22" s="21">
        <v>0.6</v>
      </c>
      <c r="W22" s="21">
        <v>0.505866666666666</v>
      </c>
      <c r="X22" s="21">
        <v>0.39886</v>
      </c>
      <c r="Y22" s="21">
        <v>0.399</v>
      </c>
      <c r="Z22" s="21">
        <v>0.805155420773313</v>
      </c>
      <c r="AA22" s="21">
        <v>0.510249730704126</v>
      </c>
      <c r="AB22" s="21">
        <v>0.194412433661865</v>
      </c>
      <c r="AC22" s="21">
        <v>0.194465504169825</v>
      </c>
      <c r="AD22" s="21">
        <v>0.342</v>
      </c>
      <c r="AE22" s="21">
        <v>0.556764251053164</v>
      </c>
      <c r="AF22" s="21">
        <v>0.626095</v>
      </c>
      <c r="AG22" s="21">
        <v>0.6345</v>
      </c>
      <c r="AH22" s="24">
        <f t="shared" ref="AH22:AK22" si="5">AVERAGE(AD22,Z22,V22,R22,N22,J22,F22)</f>
        <v>0.544061982013463</v>
      </c>
      <c r="AI22" s="25">
        <f t="shared" si="5"/>
        <v>0.567760567560869</v>
      </c>
      <c r="AJ22" s="25">
        <f t="shared" si="5"/>
        <v>0.41573142392172</v>
      </c>
      <c r="AK22" s="25">
        <f t="shared" si="5"/>
        <v>0.422476149857817</v>
      </c>
    </row>
    <row r="23" spans="1:37">
      <c r="A23" s="7" t="s">
        <v>22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4" t="e">
        <f t="shared" ref="AH23:AH31" si="6">AVERAGE(AD23,Z23,V23,R23,N23,J23,F23)</f>
        <v>#DIV/0!</v>
      </c>
      <c r="AI23" s="25" t="e">
        <f t="shared" ref="AI23:AI31" si="7">AVERAGE(AE23,AA23,W23,S23,O23,K23,G23)</f>
        <v>#DIV/0!</v>
      </c>
      <c r="AJ23" s="25" t="e">
        <f t="shared" ref="AJ23:AJ31" si="8">AVERAGE(AF23,AB23,X23,T23,P23,L23,H23)</f>
        <v>#DIV/0!</v>
      </c>
      <c r="AK23" s="25" t="e">
        <f t="shared" ref="AK23:AK31" si="9">AVERAGE(AG23,AC23,Y23,U23,Q23,M23,I23)</f>
        <v>#DIV/0!</v>
      </c>
    </row>
    <row r="24" spans="1:37">
      <c r="A24" s="7" t="s">
        <v>23</v>
      </c>
      <c r="B24" s="26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4" t="e">
        <f t="shared" si="6"/>
        <v>#DIV/0!</v>
      </c>
      <c r="AI24" s="25" t="e">
        <f t="shared" si="7"/>
        <v>#DIV/0!</v>
      </c>
      <c r="AJ24" s="25" t="e">
        <f t="shared" si="8"/>
        <v>#DIV/0!</v>
      </c>
      <c r="AK24" s="25" t="e">
        <f t="shared" si="9"/>
        <v>#DIV/0!</v>
      </c>
    </row>
    <row r="25" spans="1:37">
      <c r="A25" s="7" t="s">
        <v>24</v>
      </c>
      <c r="B25" s="26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4" t="e">
        <f t="shared" si="6"/>
        <v>#DIV/0!</v>
      </c>
      <c r="AI25" s="25" t="e">
        <f t="shared" si="7"/>
        <v>#DIV/0!</v>
      </c>
      <c r="AJ25" s="25" t="e">
        <f t="shared" si="8"/>
        <v>#DIV/0!</v>
      </c>
      <c r="AK25" s="25" t="e">
        <f t="shared" si="9"/>
        <v>#DIV/0!</v>
      </c>
    </row>
    <row r="26" spans="1:37">
      <c r="A26" s="7" t="s">
        <v>25</v>
      </c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4" t="e">
        <f t="shared" si="6"/>
        <v>#DIV/0!</v>
      </c>
      <c r="AI26" s="25" t="e">
        <f t="shared" si="7"/>
        <v>#DIV/0!</v>
      </c>
      <c r="AJ26" s="25" t="e">
        <f t="shared" si="8"/>
        <v>#DIV/0!</v>
      </c>
      <c r="AK26" s="25" t="e">
        <f t="shared" si="9"/>
        <v>#DIV/0!</v>
      </c>
    </row>
    <row r="27" spans="1:37">
      <c r="A27" s="7" t="s">
        <v>26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4" t="e">
        <f t="shared" si="6"/>
        <v>#DIV/0!</v>
      </c>
      <c r="AI27" s="25" t="e">
        <f t="shared" si="7"/>
        <v>#DIV/0!</v>
      </c>
      <c r="AJ27" s="25" t="e">
        <f t="shared" si="8"/>
        <v>#DIV/0!</v>
      </c>
      <c r="AK27" s="25" t="e">
        <f t="shared" si="9"/>
        <v>#DIV/0!</v>
      </c>
    </row>
    <row r="28" spans="1:37">
      <c r="A28" s="7" t="s">
        <v>28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7"/>
      <c r="W28" s="27"/>
      <c r="X28" s="27"/>
      <c r="Y28" s="27"/>
      <c r="Z28" s="21"/>
      <c r="AA28" s="21"/>
      <c r="AB28" s="21"/>
      <c r="AC28" s="21"/>
      <c r="AD28" s="21"/>
      <c r="AE28" s="21"/>
      <c r="AF28" s="21"/>
      <c r="AG28" s="21"/>
      <c r="AH28" s="24" t="e">
        <f t="shared" si="6"/>
        <v>#DIV/0!</v>
      </c>
      <c r="AI28" s="25" t="e">
        <f t="shared" si="7"/>
        <v>#DIV/0!</v>
      </c>
      <c r="AJ28" s="25" t="e">
        <f t="shared" si="8"/>
        <v>#DIV/0!</v>
      </c>
      <c r="AK28" s="25" t="e">
        <f t="shared" si="9"/>
        <v>#DIV/0!</v>
      </c>
    </row>
    <row r="29" ht="19" customHeight="1" spans="1:37">
      <c r="A29" s="7" t="s">
        <v>33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8"/>
      <c r="W29" s="28"/>
      <c r="X29" s="28"/>
      <c r="Y29" s="28"/>
      <c r="Z29" s="21"/>
      <c r="AA29" s="21"/>
      <c r="AB29" s="21"/>
      <c r="AC29" s="21"/>
      <c r="AD29" s="21"/>
      <c r="AE29" s="21"/>
      <c r="AF29" s="21"/>
      <c r="AG29" s="21"/>
      <c r="AH29" s="24" t="e">
        <f t="shared" si="6"/>
        <v>#DIV/0!</v>
      </c>
      <c r="AI29" s="25" t="e">
        <f t="shared" si="7"/>
        <v>#DIV/0!</v>
      </c>
      <c r="AJ29" s="25" t="e">
        <f t="shared" si="8"/>
        <v>#DIV/0!</v>
      </c>
      <c r="AK29" s="25" t="e">
        <f t="shared" si="9"/>
        <v>#DIV/0!</v>
      </c>
    </row>
    <row r="30" ht="19" customHeight="1" spans="1:37">
      <c r="A30" s="7" t="s">
        <v>34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7"/>
      <c r="W30" s="27"/>
      <c r="X30" s="27"/>
      <c r="Y30" s="27"/>
      <c r="Z30" s="21"/>
      <c r="AA30" s="21"/>
      <c r="AB30" s="21"/>
      <c r="AC30" s="21"/>
      <c r="AD30" s="21"/>
      <c r="AE30" s="21"/>
      <c r="AF30" s="21"/>
      <c r="AG30" s="21"/>
      <c r="AH30" s="24" t="e">
        <f t="shared" si="6"/>
        <v>#DIV/0!</v>
      </c>
      <c r="AI30" s="25" t="e">
        <f t="shared" si="7"/>
        <v>#DIV/0!</v>
      </c>
      <c r="AJ30" s="25" t="e">
        <f t="shared" si="8"/>
        <v>#DIV/0!</v>
      </c>
      <c r="AK30" s="25" t="e">
        <f t="shared" si="9"/>
        <v>#DIV/0!</v>
      </c>
    </row>
    <row r="31" ht="19" customHeight="1" spans="1:37">
      <c r="A31" s="7" t="s">
        <v>35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7"/>
      <c r="W31" s="27"/>
      <c r="X31" s="27"/>
      <c r="Y31" s="27"/>
      <c r="Z31" s="21"/>
      <c r="AA31" s="21"/>
      <c r="AB31" s="21"/>
      <c r="AC31" s="21"/>
      <c r="AD31" s="21"/>
      <c r="AE31" s="21"/>
      <c r="AF31" s="21"/>
      <c r="AG31" s="21"/>
      <c r="AH31" s="24" t="e">
        <f t="shared" si="6"/>
        <v>#DIV/0!</v>
      </c>
      <c r="AI31" s="25" t="e">
        <f t="shared" si="7"/>
        <v>#DIV/0!</v>
      </c>
      <c r="AJ31" s="25" t="e">
        <f t="shared" si="8"/>
        <v>#DIV/0!</v>
      </c>
      <c r="AK31" s="25" t="e">
        <f t="shared" si="9"/>
        <v>#DIV/0!</v>
      </c>
    </row>
    <row r="36" customHeight="1" spans="1:37">
      <c r="A36" s="29" t="s">
        <v>0</v>
      </c>
      <c r="B36" s="30" t="s">
        <v>37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</row>
    <row r="37" spans="1:37">
      <c r="A37" s="30"/>
      <c r="B37" s="5" t="s">
        <v>2</v>
      </c>
      <c r="C37" s="5"/>
      <c r="D37" s="5"/>
      <c r="E37" s="6"/>
      <c r="F37" s="7" t="s">
        <v>3</v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8" t="s">
        <v>4</v>
      </c>
      <c r="AI37" s="8" t="s">
        <v>5</v>
      </c>
      <c r="AJ37" s="8" t="s">
        <v>6</v>
      </c>
      <c r="AK37" s="8" t="s">
        <v>7</v>
      </c>
    </row>
    <row r="38" spans="1:37">
      <c r="A38" s="30"/>
      <c r="B38" s="9" t="s">
        <v>38</v>
      </c>
      <c r="C38" s="9"/>
      <c r="D38" s="9"/>
      <c r="E38" s="9"/>
      <c r="F38" s="10" t="s">
        <v>9</v>
      </c>
      <c r="G38" s="10"/>
      <c r="H38" s="10"/>
      <c r="I38" s="10"/>
      <c r="J38" s="10" t="s">
        <v>10</v>
      </c>
      <c r="K38" s="10"/>
      <c r="L38" s="10"/>
      <c r="M38" s="10"/>
      <c r="N38" s="10" t="s">
        <v>11</v>
      </c>
      <c r="O38" s="10"/>
      <c r="P38" s="10"/>
      <c r="Q38" s="10"/>
      <c r="R38" s="10" t="s">
        <v>12</v>
      </c>
      <c r="S38" s="10"/>
      <c r="T38" s="10"/>
      <c r="U38" s="10"/>
      <c r="V38" s="10" t="s">
        <v>8</v>
      </c>
      <c r="W38" s="10"/>
      <c r="X38" s="10"/>
      <c r="Y38" s="10"/>
      <c r="Z38" s="10" t="s">
        <v>14</v>
      </c>
      <c r="AA38" s="10"/>
      <c r="AB38" s="10"/>
      <c r="AC38" s="10"/>
      <c r="AD38" s="10" t="s">
        <v>13</v>
      </c>
      <c r="AE38" s="10"/>
      <c r="AF38" s="10"/>
      <c r="AG38" s="10"/>
      <c r="AH38" s="8"/>
      <c r="AI38" s="8"/>
      <c r="AJ38" s="8"/>
      <c r="AK38" s="8"/>
    </row>
    <row r="39" spans="1:37">
      <c r="A39" s="30"/>
      <c r="B39" s="13" t="s">
        <v>16</v>
      </c>
      <c r="C39" s="14" t="s">
        <v>17</v>
      </c>
      <c r="D39" s="14" t="s">
        <v>18</v>
      </c>
      <c r="E39" s="15" t="s">
        <v>19</v>
      </c>
      <c r="F39" s="9" t="s">
        <v>16</v>
      </c>
      <c r="G39" s="16" t="s">
        <v>17</v>
      </c>
      <c r="H39" s="16" t="s">
        <v>18</v>
      </c>
      <c r="I39" s="17" t="s">
        <v>19</v>
      </c>
      <c r="J39" s="13" t="s">
        <v>16</v>
      </c>
      <c r="K39" s="14" t="s">
        <v>17</v>
      </c>
      <c r="L39" s="14" t="s">
        <v>18</v>
      </c>
      <c r="M39" s="15" t="s">
        <v>19</v>
      </c>
      <c r="N39" s="13" t="s">
        <v>16</v>
      </c>
      <c r="O39" s="14" t="s">
        <v>17</v>
      </c>
      <c r="P39" s="14" t="s">
        <v>18</v>
      </c>
      <c r="Q39" s="15" t="s">
        <v>19</v>
      </c>
      <c r="R39" s="13" t="s">
        <v>16</v>
      </c>
      <c r="S39" s="14" t="s">
        <v>17</v>
      </c>
      <c r="T39" s="14" t="s">
        <v>18</v>
      </c>
      <c r="U39" s="15" t="s">
        <v>19</v>
      </c>
      <c r="V39" s="13" t="s">
        <v>16</v>
      </c>
      <c r="W39" s="14" t="s">
        <v>17</v>
      </c>
      <c r="X39" s="14" t="s">
        <v>18</v>
      </c>
      <c r="Y39" s="15" t="s">
        <v>19</v>
      </c>
      <c r="Z39" s="13" t="s">
        <v>16</v>
      </c>
      <c r="AA39" s="14" t="s">
        <v>17</v>
      </c>
      <c r="AB39" s="14" t="s">
        <v>18</v>
      </c>
      <c r="AC39" s="15" t="s">
        <v>19</v>
      </c>
      <c r="AD39" s="13" t="s">
        <v>16</v>
      </c>
      <c r="AE39" s="14" t="s">
        <v>17</v>
      </c>
      <c r="AF39" s="14" t="s">
        <v>18</v>
      </c>
      <c r="AG39" s="15" t="s">
        <v>19</v>
      </c>
      <c r="AH39" s="8"/>
      <c r="AI39" s="8"/>
      <c r="AJ39" s="8"/>
      <c r="AK39" s="8"/>
    </row>
    <row r="40" spans="1:37">
      <c r="A40" s="18" t="s">
        <v>20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</row>
    <row r="41" spans="1:37">
      <c r="A41" s="5" t="s">
        <v>21</v>
      </c>
      <c r="B41" s="20">
        <v>0.522</v>
      </c>
      <c r="C41" s="20">
        <v>0.563751422754452</v>
      </c>
      <c r="D41" s="20">
        <v>0.464219</v>
      </c>
      <c r="E41" s="20">
        <v>0.4676</v>
      </c>
      <c r="F41" s="21">
        <f>F6</f>
        <v>0.0929264909847434</v>
      </c>
      <c r="G41" s="21">
        <f t="shared" ref="G41:U41" si="10">G6</f>
        <v>0.591062906669506</v>
      </c>
      <c r="H41" s="21">
        <f t="shared" si="10"/>
        <v>0.705082917244567</v>
      </c>
      <c r="I41" s="21">
        <f t="shared" si="10"/>
        <v>0.726558021266759</v>
      </c>
      <c r="J41" s="21">
        <f t="shared" si="10"/>
        <v>0.482</v>
      </c>
      <c r="K41" s="21">
        <f t="shared" si="10"/>
        <v>0.581368954164597</v>
      </c>
      <c r="L41" s="21">
        <f t="shared" si="10"/>
        <v>0.46800755</v>
      </c>
      <c r="M41" s="21">
        <f t="shared" si="10"/>
        <v>0.473095</v>
      </c>
      <c r="N41" s="21">
        <f t="shared" si="10"/>
        <v>0.86076986076986</v>
      </c>
      <c r="O41" s="21">
        <f t="shared" si="10"/>
        <v>0.619443667095763</v>
      </c>
      <c r="P41" s="21">
        <f t="shared" si="10"/>
        <v>0.127618755118755</v>
      </c>
      <c r="Q41" s="21">
        <f t="shared" si="10"/>
        <v>0.115929565929565</v>
      </c>
      <c r="R41" s="21">
        <f t="shared" si="10"/>
        <v>0.446428571428571</v>
      </c>
      <c r="S41" s="21">
        <f t="shared" si="10"/>
        <v>0.496441532258064</v>
      </c>
      <c r="T41" s="21">
        <f t="shared" si="10"/>
        <v>0.515220957589285</v>
      </c>
      <c r="U41" s="21">
        <f t="shared" si="10"/>
        <v>0.515216517857142</v>
      </c>
      <c r="V41" s="21">
        <f>B6</f>
        <v>0.459</v>
      </c>
      <c r="W41" s="21">
        <f>C6</f>
        <v>0.559838353086151</v>
      </c>
      <c r="X41" s="21">
        <f>D6</f>
        <v>0.5002526</v>
      </c>
      <c r="Y41" s="21">
        <f>E6</f>
        <v>0.50314</v>
      </c>
      <c r="Z41" s="21">
        <f>Z6</f>
        <v>0.733889310083396</v>
      </c>
      <c r="AA41" s="21">
        <f>AA6</f>
        <v>0.53642043982953</v>
      </c>
      <c r="AB41" s="21">
        <f>AB6</f>
        <v>0.260898407884761</v>
      </c>
      <c r="AC41" s="21">
        <f>AC6</f>
        <v>0.26163760424564</v>
      </c>
      <c r="AD41" s="26">
        <f>V6</f>
        <v>0.516</v>
      </c>
      <c r="AE41" s="26">
        <f>W6</f>
        <v>0.546303414696649</v>
      </c>
      <c r="AF41" s="26">
        <f>X6</f>
        <v>0.472356200708616</v>
      </c>
      <c r="AG41" s="26">
        <f>Y6</f>
        <v>0.474764523809523</v>
      </c>
      <c r="AH41" s="22">
        <f>AVERAGE(B41,Z41,V41,R41,N41,J41,F41)</f>
        <v>0.513859176180939</v>
      </c>
      <c r="AI41" s="22">
        <f t="shared" ref="AI41:AK41" si="11">AVERAGE(C41,AA41,W41,S41,O41,K41,G41)</f>
        <v>0.564046753694009</v>
      </c>
      <c r="AJ41" s="22">
        <f t="shared" si="11"/>
        <v>0.434471455405338</v>
      </c>
      <c r="AK41" s="22">
        <f t="shared" si="11"/>
        <v>0.437596672757015</v>
      </c>
    </row>
    <row r="42" spans="1:37">
      <c r="A42" s="5" t="s">
        <v>22</v>
      </c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0"/>
      <c r="AE42" s="20"/>
      <c r="AF42" s="20"/>
      <c r="AG42" s="20"/>
      <c r="AH42" s="22" t="e">
        <f>AVERAGE(AD42,Z42,V42,R42,N42,J42,F42)</f>
        <v>#DIV/0!</v>
      </c>
      <c r="AI42" s="22" t="e">
        <f>AVERAGE(AE42,AA42,W42,S42,O42,K42,G42)</f>
        <v>#DIV/0!</v>
      </c>
      <c r="AJ42" s="22" t="e">
        <f>AVERAGE(AF42,AB42,X42,T42,P42,L42,H42)</f>
        <v>#DIV/0!</v>
      </c>
      <c r="AK42" s="22" t="e">
        <f>AVERAGE(AG42,AC42,Y42,U42,Q42,M42,I42)</f>
        <v>#DIV/0!</v>
      </c>
    </row>
    <row r="43" spans="1:37">
      <c r="A43" s="5" t="s">
        <v>23</v>
      </c>
      <c r="B43" s="26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0"/>
      <c r="AE43" s="20"/>
      <c r="AF43" s="20"/>
      <c r="AG43" s="20"/>
      <c r="AH43" s="22" t="e">
        <f>AVERAGE(AD43,Z43,V43,R43,N43,J43,F43)</f>
        <v>#DIV/0!</v>
      </c>
      <c r="AI43" s="22" t="e">
        <f>AVERAGE(AE43,AA43,W43,S43,O43,K43,G43)</f>
        <v>#DIV/0!</v>
      </c>
      <c r="AJ43" s="22" t="e">
        <f>AVERAGE(AF43,AB43,X43,T43,P43,L43,H43)</f>
        <v>#DIV/0!</v>
      </c>
      <c r="AK43" s="22" t="e">
        <f>AVERAGE(AG43,AC43,Y43,U43,Q43,M43,I43)</f>
        <v>#DIV/0!</v>
      </c>
    </row>
    <row r="44" spans="1:37">
      <c r="A44" s="5" t="s">
        <v>24</v>
      </c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0"/>
      <c r="AE44" s="20"/>
      <c r="AF44" s="20"/>
      <c r="AG44" s="20"/>
      <c r="AH44" s="22" t="e">
        <f>AVERAGE(AD44,Z44,V44,R44,N44,J44,F44)</f>
        <v>#DIV/0!</v>
      </c>
      <c r="AI44" s="22" t="e">
        <f>AVERAGE(AE44,AA44,W44,S44,O44,K44,G44)</f>
        <v>#DIV/0!</v>
      </c>
      <c r="AJ44" s="22" t="e">
        <f>AVERAGE(AF44,AB44,X44,T44,P44,L44,H44)</f>
        <v>#DIV/0!</v>
      </c>
      <c r="AK44" s="22" t="e">
        <f>AVERAGE(AG44,AC44,Y44,U44,Q44,M44,I44)</f>
        <v>#DIV/0!</v>
      </c>
    </row>
    <row r="45" spans="1:37">
      <c r="A45" s="6" t="s">
        <v>25</v>
      </c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0"/>
      <c r="AE45" s="20"/>
      <c r="AF45" s="20"/>
      <c r="AG45" s="20"/>
      <c r="AH45" s="22" t="e">
        <f>AVERAGE(AD45,Z45,V45,R45,N45,J45,F45)</f>
        <v>#DIV/0!</v>
      </c>
      <c r="AI45" s="22" t="e">
        <f>AVERAGE(AE45,AA45,W45,S45,O45,K45,G45)</f>
        <v>#DIV/0!</v>
      </c>
      <c r="AJ45" s="22" t="e">
        <f>AVERAGE(AF45,AB45,X45,T45,P45,L45,H45)</f>
        <v>#DIV/0!</v>
      </c>
      <c r="AK45" s="22" t="e">
        <f>AVERAGE(AG45,AC45,Y45,U45,Q45,M45,I45)</f>
        <v>#DIV/0!</v>
      </c>
    </row>
    <row r="46" spans="1:37">
      <c r="A46" s="6" t="s">
        <v>26</v>
      </c>
      <c r="B46" s="20">
        <v>0.63</v>
      </c>
      <c r="C46" s="20">
        <v>0.779165594165594</v>
      </c>
      <c r="D46" s="20">
        <v>0.1804025</v>
      </c>
      <c r="E46" s="20">
        <v>0.120049999999999</v>
      </c>
      <c r="F46" s="20">
        <v>0.0931576514100785</v>
      </c>
      <c r="G46" s="20">
        <v>0.601355561051481</v>
      </c>
      <c r="H46" s="20">
        <v>0.259225543226999</v>
      </c>
      <c r="I46" s="20">
        <v>0.359715672676837</v>
      </c>
      <c r="J46" s="20">
        <v>0.5075</v>
      </c>
      <c r="K46" s="20">
        <v>0.658902753119451</v>
      </c>
      <c r="L46" s="20">
        <v>0.232607499999999</v>
      </c>
      <c r="M46" s="20">
        <v>0.09764</v>
      </c>
      <c r="N46" s="20">
        <v>0.854217854217854</v>
      </c>
      <c r="O46" s="20">
        <v>0.705171986598726</v>
      </c>
      <c r="P46" s="20">
        <v>0.165569205569205</v>
      </c>
      <c r="Q46" s="20">
        <v>0.226699426699426</v>
      </c>
      <c r="R46" s="20">
        <v>0.392857142857142</v>
      </c>
      <c r="S46" s="20">
        <v>0.555637951203208</v>
      </c>
      <c r="T46" s="20">
        <v>0.321577008928571</v>
      </c>
      <c r="U46" s="20">
        <v>0.283861607142857</v>
      </c>
      <c r="V46" s="20">
        <v>0.491</v>
      </c>
      <c r="W46" s="20">
        <v>0.633649302373969</v>
      </c>
      <c r="X46" s="20">
        <v>0.238406799999999</v>
      </c>
      <c r="Y46" s="20">
        <v>0.04312</v>
      </c>
      <c r="Z46" s="20">
        <v>0.862774829416224</v>
      </c>
      <c r="AA46" s="20">
        <v>0.598180388196797</v>
      </c>
      <c r="AB46" s="20">
        <v>0.13882486732373</v>
      </c>
      <c r="AC46" s="20">
        <v>0.185367702805155</v>
      </c>
      <c r="AD46" s="20">
        <v>0.522</v>
      </c>
      <c r="AE46" s="20">
        <v>0.767004921528078</v>
      </c>
      <c r="AF46" s="20">
        <v>0.196102449999999</v>
      </c>
      <c r="AG46" s="20">
        <v>0.0943699999999998</v>
      </c>
      <c r="AH46" s="22">
        <f>AVERAGE(AD46,Z46,V46,R46,N46,J46,F46)</f>
        <v>0.531929639700185</v>
      </c>
      <c r="AI46" s="22">
        <f>AVERAGE(AE46,AA46,W46,S46,O46,K46,G46)</f>
        <v>0.645700409153101</v>
      </c>
      <c r="AJ46" s="22">
        <f>AVERAGE(AF46,AB46,X46,T46,P46,L46,H46)</f>
        <v>0.221759053578357</v>
      </c>
      <c r="AK46" s="22">
        <f>AVERAGE(AG46,AC46,Y46,U46,Q46,M46,I46)</f>
        <v>0.184396344189182</v>
      </c>
    </row>
    <row r="47" spans="1:37">
      <c r="A47" s="6" t="s">
        <v>27</v>
      </c>
      <c r="B47" s="20">
        <v>0.599</v>
      </c>
      <c r="C47" s="20">
        <v>0.817343119663279</v>
      </c>
      <c r="D47" s="20">
        <v>0.185360578775778</v>
      </c>
      <c r="E47" s="20">
        <v>0.155985665665666</v>
      </c>
      <c r="F47" s="20">
        <v>0.079750346740638</v>
      </c>
      <c r="G47" s="20">
        <v>0.673908674901434</v>
      </c>
      <c r="H47" s="20">
        <v>0.170577145476961</v>
      </c>
      <c r="I47" s="20">
        <v>0.177568192094313</v>
      </c>
      <c r="J47" s="20">
        <v>0.49</v>
      </c>
      <c r="K47" s="20">
        <v>0.774051120448179</v>
      </c>
      <c r="L47" s="20">
        <v>0.226415243444445</v>
      </c>
      <c r="M47" s="20">
        <v>0.174536665166666</v>
      </c>
      <c r="N47" s="20">
        <v>0.864045864045864</v>
      </c>
      <c r="O47" s="20">
        <v>0.739833266716153</v>
      </c>
      <c r="P47" s="20">
        <v>0.225538201838202</v>
      </c>
      <c r="Q47" s="20">
        <v>0.285582854763854</v>
      </c>
      <c r="R47" s="20">
        <v>0.392857142857142</v>
      </c>
      <c r="S47" s="20">
        <v>0.555637951203208</v>
      </c>
      <c r="T47" s="20">
        <v>0.321577008928571</v>
      </c>
      <c r="U47" s="20">
        <v>0.283861607142857</v>
      </c>
      <c r="V47" s="20">
        <v>0.448</v>
      </c>
      <c r="W47" s="20">
        <v>0.675759009446169</v>
      </c>
      <c r="X47" s="20">
        <v>0.294500122222222</v>
      </c>
      <c r="Y47" s="20">
        <v>0.25001</v>
      </c>
      <c r="Z47" s="20">
        <v>0.846095526914329</v>
      </c>
      <c r="AA47" s="20">
        <v>0.773840422338753</v>
      </c>
      <c r="AB47" s="20">
        <v>0.105001297279083</v>
      </c>
      <c r="AC47" s="20">
        <v>0.0981602223907</v>
      </c>
      <c r="AD47" s="20">
        <v>0.514</v>
      </c>
      <c r="AE47" s="20">
        <v>0.795903988727162</v>
      </c>
      <c r="AF47" s="20">
        <v>0.213415091506172</v>
      </c>
      <c r="AG47" s="20">
        <v>0.198892444444444</v>
      </c>
      <c r="AH47" s="22">
        <f>AVERAGE(B47,Z47,V47,R47,N47,J47,F47)</f>
        <v>0.531392697222568</v>
      </c>
      <c r="AI47" s="22">
        <f>AVERAGE(C47,AA47,W47,S47,O47,K47,G47)</f>
        <v>0.715767652102454</v>
      </c>
      <c r="AJ47" s="22">
        <f>AVERAGE(D47,AB47,X47,T47,P47,L47,H47)</f>
        <v>0.218424228280752</v>
      </c>
      <c r="AK47" s="22">
        <f>AVERAGE(E47,AC47,Y47,U47,Q47,M47,I47)</f>
        <v>0.203672172460579</v>
      </c>
    </row>
    <row r="48" spans="1:37">
      <c r="A48" s="31" t="s">
        <v>28</v>
      </c>
      <c r="B48" s="20">
        <v>0.603</v>
      </c>
      <c r="C48" s="20">
        <v>0.802924921989548</v>
      </c>
      <c r="D48" s="20">
        <v>0.191650355666666</v>
      </c>
      <c r="E48" s="20">
        <v>0.188307</v>
      </c>
      <c r="F48" s="20">
        <v>0.073509015256588</v>
      </c>
      <c r="G48" s="20">
        <v>0.548507936956276</v>
      </c>
      <c r="H48" s="20">
        <v>0.141347717953685</v>
      </c>
      <c r="I48" s="20">
        <v>0.147970488379132</v>
      </c>
      <c r="J48" s="20">
        <v>0.472</v>
      </c>
      <c r="K48" s="20">
        <v>0.721796553993323</v>
      </c>
      <c r="L48" s="20">
        <v>0.27422350243865</v>
      </c>
      <c r="M48" s="20">
        <v>0.25964515019839</v>
      </c>
      <c r="N48" s="20">
        <v>0.865683865683865</v>
      </c>
      <c r="O48" s="20">
        <v>0.713250224980963</v>
      </c>
      <c r="P48" s="20">
        <v>0.411531322517534</v>
      </c>
      <c r="Q48" s="20">
        <v>0.42334698356577</v>
      </c>
      <c r="R48" s="20">
        <v>0.381696428571428</v>
      </c>
      <c r="S48" s="20">
        <v>0.524837967361243</v>
      </c>
      <c r="T48" s="20">
        <v>0.365038779761904</v>
      </c>
      <c r="U48" s="20">
        <v>0.363035714285714</v>
      </c>
      <c r="V48" s="20">
        <v>0.423</v>
      </c>
      <c r="W48" s="20">
        <v>0.584409864342752</v>
      </c>
      <c r="X48" s="20">
        <v>0.355160194</v>
      </c>
      <c r="Y48" s="20">
        <v>0.346805999999999</v>
      </c>
      <c r="Z48" s="20">
        <v>0.851402577710386</v>
      </c>
      <c r="AA48" s="20">
        <v>0.674784651171243</v>
      </c>
      <c r="AB48" s="20">
        <v>0.109995849970516</v>
      </c>
      <c r="AC48" s="20">
        <v>0.109707606772807</v>
      </c>
      <c r="AD48" s="20">
        <v>0.504</v>
      </c>
      <c r="AE48" s="20">
        <v>0.815420186891961</v>
      </c>
      <c r="AF48" s="20">
        <v>0.2051379947263</v>
      </c>
      <c r="AG48" s="20">
        <v>0.205485638961038</v>
      </c>
      <c r="AH48" s="22">
        <f>AVERAGE(B48,Z48,V48,R48,N48,J48,F48)</f>
        <v>0.524327412460324</v>
      </c>
      <c r="AI48" s="22">
        <f>AVERAGE(C48,AA48,W48,S48,O48,K48,G48)</f>
        <v>0.652930302970764</v>
      </c>
      <c r="AJ48" s="22">
        <f>AVERAGE(D48,AB48,X48,T48,P48,L48,H48)</f>
        <v>0.264135388901279</v>
      </c>
      <c r="AK48" s="22">
        <f>AVERAGE(E48,AC48,Y48,U48,Q48,M48,I48)</f>
        <v>0.262688420457402</v>
      </c>
    </row>
    <row r="49" spans="1:37">
      <c r="A49" s="31" t="s">
        <v>29</v>
      </c>
      <c r="B49" s="20">
        <v>0.615</v>
      </c>
      <c r="C49" s="20">
        <v>0.781828740365325</v>
      </c>
      <c r="D49" s="20">
        <v>0.21092440533</v>
      </c>
      <c r="E49" s="20">
        <v>0.203806699999999</v>
      </c>
      <c r="F49" s="20">
        <v>0.09500693481276</v>
      </c>
      <c r="G49" s="20">
        <v>0.572767103877096</v>
      </c>
      <c r="H49" s="20">
        <v>0.184885994105409</v>
      </c>
      <c r="I49" s="20">
        <v>0.200303791030975</v>
      </c>
      <c r="J49" s="20">
        <v>0.4955</v>
      </c>
      <c r="K49" s="20">
        <v>0.721920975599023</v>
      </c>
      <c r="L49" s="20">
        <v>0.272423652885</v>
      </c>
      <c r="M49" s="20">
        <v>0.23755615</v>
      </c>
      <c r="N49" s="20">
        <v>0.77067977067977</v>
      </c>
      <c r="O49" s="20">
        <v>0.586479049643236</v>
      </c>
      <c r="P49" s="20">
        <v>0.454282147927927</v>
      </c>
      <c r="Q49" s="20">
        <v>0.479011302211302</v>
      </c>
      <c r="R49" s="20">
        <v>0.345982142857142</v>
      </c>
      <c r="S49" s="20">
        <v>0.515644610811406</v>
      </c>
      <c r="T49" s="20">
        <v>0.321333928683035</v>
      </c>
      <c r="U49" s="20">
        <v>0.304998883928571</v>
      </c>
      <c r="V49" s="20">
        <v>0.464</v>
      </c>
      <c r="W49" s="20">
        <v>0.649685972079258</v>
      </c>
      <c r="X49" s="20">
        <v>0.33994890441</v>
      </c>
      <c r="Y49" s="20">
        <v>0.3196059</v>
      </c>
      <c r="Z49" s="20">
        <v>0.857467778620166</v>
      </c>
      <c r="AA49" s="20">
        <v>0.725426566585774</v>
      </c>
      <c r="AB49" s="20">
        <v>0.101252548544351</v>
      </c>
      <c r="AC49" s="20">
        <v>0.0959777862016678</v>
      </c>
      <c r="AD49" s="20">
        <v>0.476</v>
      </c>
      <c r="AE49" s="20">
        <v>0.784230867919687</v>
      </c>
      <c r="AF49" s="20">
        <v>0.23900901144</v>
      </c>
      <c r="AG49" s="20">
        <v>0.2311128</v>
      </c>
      <c r="AH49" s="22">
        <f>AVERAGE(B49,Z49,V49,R49,N49,J49,F49)</f>
        <v>0.520519518138548</v>
      </c>
      <c r="AI49" s="22">
        <f>AVERAGE(C49,AA49,W49,S49,O49,K49,G49)</f>
        <v>0.650536145565874</v>
      </c>
      <c r="AJ49" s="22">
        <f>AVERAGE(D49,AB49,X49,T49,P49,L49,H49)</f>
        <v>0.269293083126532</v>
      </c>
      <c r="AK49" s="22">
        <f>AVERAGE(E49,AC49,Y49,U49,Q49,M49,I49)</f>
        <v>0.263037216196074</v>
      </c>
    </row>
    <row r="50" spans="1:37">
      <c r="A50" s="18" t="s">
        <v>36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</row>
    <row r="51" spans="1:37">
      <c r="A51" s="5" t="s">
        <v>21</v>
      </c>
      <c r="B51" s="20">
        <v>0.614</v>
      </c>
      <c r="C51" s="20">
        <v>0.552387301480143</v>
      </c>
      <c r="D51" s="20">
        <v>0.378925399999999</v>
      </c>
      <c r="E51" s="20">
        <v>0.38118</v>
      </c>
      <c r="F51" s="21">
        <f t="shared" ref="F51:I51" si="12">F22</f>
        <v>0.118354137771613</v>
      </c>
      <c r="G51" s="21">
        <f t="shared" si="12"/>
        <v>0.608906434353696</v>
      </c>
      <c r="H51" s="21">
        <f t="shared" si="12"/>
        <v>0.707916088765603</v>
      </c>
      <c r="I51" s="21">
        <f t="shared" si="12"/>
        <v>0.767267683772538</v>
      </c>
      <c r="J51" s="21">
        <f t="shared" ref="J51:U51" si="13">J22</f>
        <v>0.5805</v>
      </c>
      <c r="K51" s="21">
        <f t="shared" si="13"/>
        <v>0.576300279546115</v>
      </c>
      <c r="L51" s="21">
        <f t="shared" si="13"/>
        <v>0.40117125</v>
      </c>
      <c r="M51" s="21">
        <f t="shared" si="13"/>
        <v>0.405724999999999</v>
      </c>
      <c r="N51" s="21">
        <f t="shared" si="13"/>
        <v>0.886977886977886</v>
      </c>
      <c r="O51" s="21">
        <f t="shared" si="13"/>
        <v>0.68519076103684</v>
      </c>
      <c r="P51" s="21">
        <f t="shared" si="13"/>
        <v>0.10002457002457</v>
      </c>
      <c r="Q51" s="21">
        <f t="shared" si="13"/>
        <v>0.0753480753480753</v>
      </c>
      <c r="R51" s="21">
        <f t="shared" si="13"/>
        <v>0.475446428571428</v>
      </c>
      <c r="S51" s="21">
        <f t="shared" si="13"/>
        <v>0.531045849565478</v>
      </c>
      <c r="T51" s="21">
        <f t="shared" si="13"/>
        <v>0.481640625</v>
      </c>
      <c r="U51" s="21">
        <f t="shared" si="13"/>
        <v>0.481026785714285</v>
      </c>
      <c r="V51" s="21">
        <f>B22</f>
        <v>0.449</v>
      </c>
      <c r="W51" s="21">
        <f>C22</f>
        <v>0.523530814595046</v>
      </c>
      <c r="X51" s="21">
        <f>D22</f>
        <v>0.5431775</v>
      </c>
      <c r="Y51" s="21">
        <f>E22</f>
        <v>0.54615</v>
      </c>
      <c r="Z51" s="21">
        <f>Z22</f>
        <v>0.805155420773313</v>
      </c>
      <c r="AA51" s="21">
        <f>AA22</f>
        <v>0.510249730704126</v>
      </c>
      <c r="AB51" s="21">
        <f>AB22</f>
        <v>0.194412433661865</v>
      </c>
      <c r="AC51" s="21">
        <f>AC22</f>
        <v>0.194465504169825</v>
      </c>
      <c r="AD51" s="26">
        <f>V22</f>
        <v>0.6</v>
      </c>
      <c r="AE51" s="26">
        <f>W22</f>
        <v>0.505866666666666</v>
      </c>
      <c r="AF51" s="26">
        <f>X22</f>
        <v>0.39886</v>
      </c>
      <c r="AG51" s="26">
        <f>Y22</f>
        <v>0.399</v>
      </c>
      <c r="AH51" s="25">
        <f t="shared" ref="AH51:AK51" si="14">AVERAGE(B51,Z51,V51,R51,N51,J51,F51)</f>
        <v>0.561347696299177</v>
      </c>
      <c r="AI51" s="25">
        <f t="shared" si="14"/>
        <v>0.569658738754492</v>
      </c>
      <c r="AJ51" s="25">
        <f t="shared" si="14"/>
        <v>0.401038266778862</v>
      </c>
      <c r="AK51" s="25">
        <f t="shared" si="14"/>
        <v>0.407309007000675</v>
      </c>
    </row>
    <row r="52" spans="1:37">
      <c r="A52" s="5" t="s">
        <v>22</v>
      </c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5" t="e">
        <f t="shared" ref="AH52:AH57" si="15">AVERAGE(AD52,Z52,V52,R52,N52,J52,F52)</f>
        <v>#DIV/0!</v>
      </c>
      <c r="AI52" s="25" t="e">
        <f t="shared" ref="AI52:AI57" si="16">AVERAGE(AE52,AA52,W52,S52,O52,K52,G52)</f>
        <v>#DIV/0!</v>
      </c>
      <c r="AJ52" s="25" t="e">
        <f t="shared" ref="AJ52:AJ57" si="17">AVERAGE(AF52,AB52,X52,T52,P52,L52,H52)</f>
        <v>#DIV/0!</v>
      </c>
      <c r="AK52" s="25" t="e">
        <f t="shared" ref="AK52:AK57" si="18">AVERAGE(AG52,AC52,Y52,U52,Q52,M52,I52)</f>
        <v>#DIV/0!</v>
      </c>
    </row>
    <row r="53" spans="1:37">
      <c r="A53" s="5" t="s">
        <v>23</v>
      </c>
      <c r="B53" s="26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5" t="e">
        <f t="shared" si="15"/>
        <v>#DIV/0!</v>
      </c>
      <c r="AI53" s="25" t="e">
        <f t="shared" si="16"/>
        <v>#DIV/0!</v>
      </c>
      <c r="AJ53" s="25" t="e">
        <f t="shared" si="17"/>
        <v>#DIV/0!</v>
      </c>
      <c r="AK53" s="25" t="e">
        <f t="shared" si="18"/>
        <v>#DIV/0!</v>
      </c>
    </row>
    <row r="54" spans="1:37">
      <c r="A54" s="5" t="s">
        <v>24</v>
      </c>
      <c r="B54" s="26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5" t="e">
        <f t="shared" si="15"/>
        <v>#DIV/0!</v>
      </c>
      <c r="AI54" s="25" t="e">
        <f t="shared" si="16"/>
        <v>#DIV/0!</v>
      </c>
      <c r="AJ54" s="25" t="e">
        <f t="shared" si="17"/>
        <v>#DIV/0!</v>
      </c>
      <c r="AK54" s="25" t="e">
        <f t="shared" si="18"/>
        <v>#DIV/0!</v>
      </c>
    </row>
    <row r="55" spans="1:37">
      <c r="A55" s="6" t="s">
        <v>25</v>
      </c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5" t="e">
        <f t="shared" si="15"/>
        <v>#DIV/0!</v>
      </c>
      <c r="AI55" s="25" t="e">
        <f t="shared" si="16"/>
        <v>#DIV/0!</v>
      </c>
      <c r="AJ55" s="25" t="e">
        <f t="shared" si="17"/>
        <v>#DIV/0!</v>
      </c>
      <c r="AK55" s="25" t="e">
        <f t="shared" si="18"/>
        <v>#DIV/0!</v>
      </c>
    </row>
    <row r="56" spans="1:37">
      <c r="A56" s="6" t="s">
        <v>26</v>
      </c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5" t="e">
        <f t="shared" si="15"/>
        <v>#DIV/0!</v>
      </c>
      <c r="AI56" s="25" t="e">
        <f t="shared" si="16"/>
        <v>#DIV/0!</v>
      </c>
      <c r="AJ56" s="25" t="e">
        <f t="shared" si="17"/>
        <v>#DIV/0!</v>
      </c>
      <c r="AK56" s="25" t="e">
        <f t="shared" si="18"/>
        <v>#DIV/0!</v>
      </c>
    </row>
    <row r="57" spans="1:37">
      <c r="A57" s="31" t="s">
        <v>28</v>
      </c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0"/>
      <c r="W57" s="20"/>
      <c r="X57" s="20"/>
      <c r="Y57" s="20"/>
      <c r="Z57" s="21"/>
      <c r="AA57" s="21"/>
      <c r="AB57" s="21"/>
      <c r="AC57" s="21"/>
      <c r="AD57" s="21"/>
      <c r="AE57" s="21"/>
      <c r="AF57" s="21"/>
      <c r="AG57" s="21"/>
      <c r="AH57" s="25" t="e">
        <f t="shared" si="15"/>
        <v>#DIV/0!</v>
      </c>
      <c r="AI57" s="25" t="e">
        <f t="shared" si="16"/>
        <v>#DIV/0!</v>
      </c>
      <c r="AJ57" s="25" t="e">
        <f t="shared" si="17"/>
        <v>#DIV/0!</v>
      </c>
      <c r="AK57" s="25" t="e">
        <f t="shared" si="18"/>
        <v>#DIV/0!</v>
      </c>
    </row>
    <row r="58" spans="1:37">
      <c r="A58" s="1" t="s">
        <v>39</v>
      </c>
    </row>
  </sheetData>
  <mergeCells count="36">
    <mergeCell ref="B1:AH1"/>
    <mergeCell ref="B2:E2"/>
    <mergeCell ref="F2:AG2"/>
    <mergeCell ref="B3:E3"/>
    <mergeCell ref="F3:I3"/>
    <mergeCell ref="J3:M3"/>
    <mergeCell ref="N3:Q3"/>
    <mergeCell ref="R3:U3"/>
    <mergeCell ref="V3:Y3"/>
    <mergeCell ref="Z3:AC3"/>
    <mergeCell ref="AD3:AG3"/>
    <mergeCell ref="A5:AK5"/>
    <mergeCell ref="A21:AK21"/>
    <mergeCell ref="B36:AK36"/>
    <mergeCell ref="B37:E37"/>
    <mergeCell ref="F37:AG37"/>
    <mergeCell ref="B38:E38"/>
    <mergeCell ref="F38:I38"/>
    <mergeCell ref="J38:M38"/>
    <mergeCell ref="N38:Q38"/>
    <mergeCell ref="R38:U38"/>
    <mergeCell ref="V38:Y38"/>
    <mergeCell ref="Z38:AC38"/>
    <mergeCell ref="AD38:AG38"/>
    <mergeCell ref="A40:AK40"/>
    <mergeCell ref="A50:AK50"/>
    <mergeCell ref="A1:A4"/>
    <mergeCell ref="A36:A39"/>
    <mergeCell ref="AH2:AH4"/>
    <mergeCell ref="AH37:AH39"/>
    <mergeCell ref="AI2:AI4"/>
    <mergeCell ref="AI37:AI39"/>
    <mergeCell ref="AJ2:AJ4"/>
    <mergeCell ref="AJ37:AJ39"/>
    <mergeCell ref="AK2:AK4"/>
    <mergeCell ref="AK37:AK39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RLCR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fanghaotian</cp:lastModifiedBy>
  <dcterms:created xsi:type="dcterms:W3CDTF">2025-12-24T09:23:00Z</dcterms:created>
  <dcterms:modified xsi:type="dcterms:W3CDTF">2025-12-24T21:21:40Z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5FB7C0BB02A00502051F4A698841109B_43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