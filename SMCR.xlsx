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20"/>
  </bookViews>
  <sheets>
    <sheet name="RLC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<sst xmlns="http://schemas.openxmlformats.org/spreadsheetml/2006/main" count="140" uniqueCount="38">
  <si>
    <t>Method</t>
  </si>
  <si>
    <t>QA</t>
  </si>
  <si>
    <t>In Domain</t>
  </si>
  <si>
    <t>OOD</t>
  </si>
  <si>
    <t>Acc Avg.</t>
  </si>
  <si>
    <t>AUROC Avg.</t>
  </si>
  <si>
    <t>Brier Avg.</t>
  </si>
  <si>
    <t>ECE Avg.</t>
  </si>
  <si>
    <t>HotpotQA</t>
  </si>
  <si>
    <t>SimpleQA</t>
  </si>
  <si>
    <t>TriviaQA</t>
  </si>
  <si>
    <t>CommonsenseQA</t>
  </si>
  <si>
    <t>GPQA</t>
  </si>
  <si>
    <t>MATH-500</t>
  </si>
  <si>
    <t>GSM8K</t>
  </si>
  <si>
    <t>HotpotQA-Modified</t>
  </si>
  <si>
    <t>Acc.</t>
  </si>
  <si>
    <t>AUROC</t>
  </si>
  <si>
    <t>Brier</t>
  </si>
  <si>
    <t>ECE</t>
  </si>
  <si>
    <t>Qwen2.5-3B-Instruct</t>
  </si>
  <si>
    <t>Base</t>
  </si>
  <si>
    <t>RLVR</t>
  </si>
  <si>
    <t>RLVR + BCE Classifier</t>
  </si>
  <si>
    <t>RLVR + Brier Classifier</t>
  </si>
  <si>
    <t>Answer Probe</t>
  </si>
  <si>
    <t>RLCR</t>
  </si>
  <si>
    <t>RLCR-std</t>
  </si>
  <si>
    <t>SMCR-brier</t>
  </si>
  <si>
    <t>SMCR-brier-std</t>
  </si>
  <si>
    <t>SMCR-brier-scale-weight</t>
  </si>
  <si>
    <t>SMCR-ECE</t>
  </si>
  <si>
    <t>SMCR-log</t>
  </si>
  <si>
    <t>SMCR-spherical</t>
  </si>
  <si>
    <t>Qwen2.5-7B-Instruct</t>
  </si>
  <si>
    <t>Math</t>
  </si>
  <si>
    <t>Big-Math Digits</t>
  </si>
  <si>
    <t>SMCR-std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</si>
</sst>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0_ "/>
  </numFmts>
  <fonts count="28">
    <font>
      <sz val="10"/>
      <color theme="1"/>
      <name val="等线"/>
      <charset val="134"/>
      <scheme val="minor"/>
    </font>
    <font>
      <b/>
      <sz val="10"/>
      <color rgb="FF000000"/>
      <name val="Times New Roman Regular"/>
      <charset val="134"/>
    </font>
    <font>
      <sz val="10"/>
      <color theme="1"/>
      <name val="Times New Roman Regular"/>
      <charset val="134"/>
    </font>
    <font>
      <sz val="10"/>
      <color rgb="FF000000"/>
      <name val="Times New Roman Regular"/>
      <charset val="134"/>
    </font>
    <font>
      <i/>
      <sz val="10"/>
      <color rgb="FF000000"/>
      <name val="Times New Roman Regular"/>
      <charset val="134"/>
    </font>
    <font>
      <sz val="10"/>
      <name val="Times New Roman Regular"/>
      <charset val="134"/>
    </font>
    <font>
      <sz val="10"/>
      <name val="Menlo"/>
      <charset val="134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F6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auto="1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7" applyNumberFormat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6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 wrapText="1"/>
    </xf>
    <xf numFmtId="176" fontId="5" fillId="0" borderId="0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177" fontId="3" fillId="0" borderId="12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wrapText="1"/>
    </xf>
    <xf numFmtId="176" fontId="7" fillId="0" borderId="0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K56"/>
  <sheetViews>
    <sheetView tabSelected="1" workbookViewId="0">
      <pane xSplit="1" topLeftCell="B1" activePane="topRight" state="frozen"/>
      <selection/>
      <selection pane="topRight" activeCell="K26" sqref="K26"/>
    </sheetView>
  </sheetViews>
  <sheetFormatPr defaultColWidth="14" defaultRowHeight="15.2"/>
  <cols>
    <col min="1" max="1" width="22.1538461538462" style="1" customWidth="1"/>
    <col min="2" max="8" width="14" style="1"/>
    <col min="9" max="33" width="14" style="1" customWidth="1"/>
    <col min="34" max="16384" width="14" style="1"/>
  </cols>
  <sheetData>
    <row r="1" spans="1:37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  <c r="AJ1" s="4"/>
      <c r="AK1" s="4"/>
    </row>
    <row r="2" spans="1:37">
      <c r="A2" s="2"/>
      <c r="B2" s="5" t="s">
        <v>2</v>
      </c>
      <c r="C2" s="5"/>
      <c r="D2" s="5"/>
      <c r="E2" s="6"/>
      <c r="F2" s="7" t="s">
        <v>3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 t="s">
        <v>4</v>
      </c>
      <c r="AI2" s="8" t="s">
        <v>5</v>
      </c>
      <c r="AJ2" s="8" t="s">
        <v>6</v>
      </c>
      <c r="AK2" s="8" t="s">
        <v>7</v>
      </c>
    </row>
    <row r="3" spans="1:37">
      <c r="A3" s="2"/>
      <c r="B3" s="9" t="s">
        <v>8</v>
      </c>
      <c r="C3" s="9"/>
      <c r="D3" s="9"/>
      <c r="E3" s="9"/>
      <c r="F3" s="10" t="s">
        <v>9</v>
      </c>
      <c r="G3" s="11"/>
      <c r="H3" s="11"/>
      <c r="I3" s="12"/>
      <c r="J3" s="10" t="s">
        <v>10</v>
      </c>
      <c r="K3" s="10"/>
      <c r="L3" s="10"/>
      <c r="M3" s="10"/>
      <c r="N3" s="10" t="s">
        <v>11</v>
      </c>
      <c r="O3" s="10"/>
      <c r="P3" s="10"/>
      <c r="Q3" s="10"/>
      <c r="R3" s="10" t="s">
        <v>12</v>
      </c>
      <c r="S3" s="10"/>
      <c r="T3" s="10"/>
      <c r="U3" s="10"/>
      <c r="V3" s="10" t="s">
        <v>13</v>
      </c>
      <c r="W3" s="10"/>
      <c r="X3" s="10"/>
      <c r="Y3" s="10"/>
      <c r="Z3" s="10" t="s">
        <v>14</v>
      </c>
      <c r="AA3" s="10"/>
      <c r="AB3" s="10"/>
      <c r="AC3" s="10"/>
      <c r="AD3" s="10" t="s">
        <v>15</v>
      </c>
      <c r="AE3" s="10"/>
      <c r="AF3" s="10"/>
      <c r="AG3" s="10"/>
      <c r="AH3" s="8"/>
      <c r="AI3" s="8"/>
      <c r="AJ3" s="8"/>
      <c r="AK3" s="8"/>
    </row>
    <row r="4" ht="19" customHeight="1" spans="1:37">
      <c r="A4" s="2"/>
      <c r="B4" s="13" t="s">
        <v>16</v>
      </c>
      <c r="C4" s="14" t="s">
        <v>17</v>
      </c>
      <c r="D4" s="14" t="s">
        <v>18</v>
      </c>
      <c r="E4" s="15" t="s">
        <v>19</v>
      </c>
      <c r="F4" s="9" t="s">
        <v>16</v>
      </c>
      <c r="G4" s="16" t="s">
        <v>17</v>
      </c>
      <c r="H4" s="16" t="s">
        <v>18</v>
      </c>
      <c r="I4" s="17" t="s">
        <v>19</v>
      </c>
      <c r="J4" s="13" t="s">
        <v>16</v>
      </c>
      <c r="K4" s="14" t="s">
        <v>17</v>
      </c>
      <c r="L4" s="14" t="s">
        <v>18</v>
      </c>
      <c r="M4" s="15" t="s">
        <v>19</v>
      </c>
      <c r="N4" s="13" t="s">
        <v>16</v>
      </c>
      <c r="O4" s="14" t="s">
        <v>17</v>
      </c>
      <c r="P4" s="14" t="s">
        <v>18</v>
      </c>
      <c r="Q4" s="15" t="s">
        <v>19</v>
      </c>
      <c r="R4" s="13" t="s">
        <v>16</v>
      </c>
      <c r="S4" s="14" t="s">
        <v>17</v>
      </c>
      <c r="T4" s="14" t="s">
        <v>18</v>
      </c>
      <c r="U4" s="15" t="s">
        <v>19</v>
      </c>
      <c r="V4" s="13" t="s">
        <v>16</v>
      </c>
      <c r="W4" s="14" t="s">
        <v>17</v>
      </c>
      <c r="X4" s="14" t="s">
        <v>18</v>
      </c>
      <c r="Y4" s="15" t="s">
        <v>19</v>
      </c>
      <c r="Z4" s="13" t="s">
        <v>16</v>
      </c>
      <c r="AA4" s="14" t="s">
        <v>17</v>
      </c>
      <c r="AB4" s="14" t="s">
        <v>18</v>
      </c>
      <c r="AC4" s="15" t="s">
        <v>19</v>
      </c>
      <c r="AD4" s="13" t="s">
        <v>16</v>
      </c>
      <c r="AE4" s="14" t="s">
        <v>17</v>
      </c>
      <c r="AF4" s="14" t="s">
        <v>18</v>
      </c>
      <c r="AG4" s="15" t="s">
        <v>19</v>
      </c>
      <c r="AH4" s="8"/>
      <c r="AI4" s="8"/>
      <c r="AJ4" s="8"/>
      <c r="AK4" s="8"/>
    </row>
    <row r="5" spans="1:37">
      <c r="A5" s="18" t="s">
        <v>20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</row>
    <row r="6" spans="1:37">
      <c r="A6" s="7" t="s">
        <v>21</v>
      </c>
      <c r="B6" s="20">
        <v>0.459</v>
      </c>
      <c r="C6" s="20">
        <v>0.559838353086151</v>
      </c>
      <c r="D6" s="20">
        <v>0.5002526</v>
      </c>
      <c r="E6" s="20">
        <v>0.50314</v>
      </c>
      <c r="F6" s="20">
        <v>0.0929264909847434</v>
      </c>
      <c r="G6" s="20">
        <v>0.591062906669506</v>
      </c>
      <c r="H6" s="20">
        <v>0.705082917244567</v>
      </c>
      <c r="I6" s="20">
        <v>0.726558021266759</v>
      </c>
      <c r="J6" s="20">
        <v>0.482</v>
      </c>
      <c r="K6" s="20">
        <v>0.581368954164597</v>
      </c>
      <c r="L6" s="20">
        <v>0.46800755</v>
      </c>
      <c r="M6" s="20">
        <v>0.473095</v>
      </c>
      <c r="N6" s="21">
        <v>0.86076986076986</v>
      </c>
      <c r="O6" s="21">
        <v>0.619443667095763</v>
      </c>
      <c r="P6" s="21">
        <v>0.127618755118755</v>
      </c>
      <c r="Q6" s="21">
        <v>0.115929565929565</v>
      </c>
      <c r="R6" s="21">
        <v>0.446428571428571</v>
      </c>
      <c r="S6" s="21">
        <v>0.496441532258064</v>
      </c>
      <c r="T6" s="21">
        <v>0.515220957589285</v>
      </c>
      <c r="U6" s="20">
        <v>0.515216517857142</v>
      </c>
      <c r="V6" s="20">
        <v>0.516</v>
      </c>
      <c r="W6" s="20">
        <v>0.546303414696649</v>
      </c>
      <c r="X6" s="20">
        <v>0.472356200708616</v>
      </c>
      <c r="Y6" s="20">
        <v>0.474764523809523</v>
      </c>
      <c r="Z6" s="20">
        <v>0.733889310083396</v>
      </c>
      <c r="AA6" s="20">
        <v>0.53642043982953</v>
      </c>
      <c r="AB6" s="20">
        <v>0.260898407884761</v>
      </c>
      <c r="AC6" s="20">
        <v>0.26163760424564</v>
      </c>
      <c r="AD6" s="20"/>
      <c r="AE6" s="20"/>
      <c r="AF6" s="20"/>
      <c r="AG6" s="20"/>
      <c r="AH6" s="22">
        <f>AVERAGE(AD6,Z6,V6,R6,N6,J6,F6)</f>
        <v>0.522002372211095</v>
      </c>
      <c r="AI6" s="22">
        <f t="shared" ref="AI6:AK6" si="0">AVERAGE(AE6,AA6,W6,S6,O6,K6,G6)</f>
        <v>0.561840152452352</v>
      </c>
      <c r="AJ6" s="22">
        <f t="shared" si="0"/>
        <v>0.424864131424331</v>
      </c>
      <c r="AK6" s="22">
        <f t="shared" si="0"/>
        <v>0.427866872184771</v>
      </c>
    </row>
    <row r="7" spans="1:37">
      <c r="A7" s="7" t="s">
        <v>22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1"/>
      <c r="O7" s="21"/>
      <c r="P7" s="21"/>
      <c r="Q7" s="21"/>
      <c r="R7" s="21"/>
      <c r="S7" s="21"/>
      <c r="T7" s="21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2" t="e">
        <f t="shared" ref="AH7:AH18" si="1">AVERAGE(AD7,Z7,V7,R7,N7,J7,F7)</f>
        <v>#DIV/0!</v>
      </c>
      <c r="AI7" s="22" t="e">
        <f t="shared" ref="AI7:AI18" si="2">AVERAGE(AE7,AA7,W7,S7,O7,K7,G7)</f>
        <v>#DIV/0!</v>
      </c>
      <c r="AJ7" s="22" t="e">
        <f t="shared" ref="AJ7:AJ18" si="3">AVERAGE(AF7,AB7,X7,T7,P7,L7,H7)</f>
        <v>#DIV/0!</v>
      </c>
      <c r="AK7" s="22" t="e">
        <f t="shared" ref="AK7:AK18" si="4">AVERAGE(AG7,AC7,Y7,U7,Q7,M7,I7)</f>
        <v>#DIV/0!</v>
      </c>
    </row>
    <row r="8" spans="1:37">
      <c r="A8" s="7" t="s">
        <v>23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1"/>
      <c r="O8" s="21"/>
      <c r="P8" s="21"/>
      <c r="Q8" s="21"/>
      <c r="R8" s="21"/>
      <c r="S8" s="21"/>
      <c r="T8" s="21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2" t="e">
        <f t="shared" si="1"/>
        <v>#DIV/0!</v>
      </c>
      <c r="AI8" s="22" t="e">
        <f t="shared" si="2"/>
        <v>#DIV/0!</v>
      </c>
      <c r="AJ8" s="22" t="e">
        <f t="shared" si="3"/>
        <v>#DIV/0!</v>
      </c>
      <c r="AK8" s="22" t="e">
        <f t="shared" si="4"/>
        <v>#DIV/0!</v>
      </c>
    </row>
    <row r="9" spans="1:37">
      <c r="A9" s="7" t="s">
        <v>24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1"/>
      <c r="O9" s="21"/>
      <c r="P9" s="21"/>
      <c r="Q9" s="21"/>
      <c r="R9" s="21"/>
      <c r="S9" s="21"/>
      <c r="T9" s="21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2" t="e">
        <f t="shared" si="1"/>
        <v>#DIV/0!</v>
      </c>
      <c r="AI9" s="22" t="e">
        <f t="shared" si="2"/>
        <v>#DIV/0!</v>
      </c>
      <c r="AJ9" s="22" t="e">
        <f t="shared" si="3"/>
        <v>#DIV/0!</v>
      </c>
      <c r="AK9" s="22" t="e">
        <f t="shared" si="4"/>
        <v>#DIV/0!</v>
      </c>
    </row>
    <row r="10" spans="1:37">
      <c r="A10" s="7" t="s">
        <v>25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  <c r="O10" s="21"/>
      <c r="P10" s="21"/>
      <c r="Q10" s="21"/>
      <c r="R10" s="21"/>
      <c r="S10" s="21"/>
      <c r="T10" s="21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2" t="e">
        <f t="shared" si="1"/>
        <v>#DIV/0!</v>
      </c>
      <c r="AI10" s="22" t="e">
        <f t="shared" si="2"/>
        <v>#DIV/0!</v>
      </c>
      <c r="AJ10" s="22" t="e">
        <f t="shared" si="3"/>
        <v>#DIV/0!</v>
      </c>
      <c r="AK10" s="22" t="e">
        <f t="shared" si="4"/>
        <v>#DIV/0!</v>
      </c>
    </row>
    <row r="11" spans="1:37">
      <c r="A11" s="7" t="s">
        <v>26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1"/>
      <c r="O11" s="21"/>
      <c r="P11" s="21"/>
      <c r="Q11" s="21"/>
      <c r="R11" s="21"/>
      <c r="S11" s="21"/>
      <c r="T11" s="21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2" t="e">
        <f t="shared" si="1"/>
        <v>#DIV/0!</v>
      </c>
      <c r="AI11" s="22" t="e">
        <f t="shared" si="2"/>
        <v>#DIV/0!</v>
      </c>
      <c r="AJ11" s="22" t="e">
        <f t="shared" si="3"/>
        <v>#DIV/0!</v>
      </c>
      <c r="AK11" s="22" t="e">
        <f t="shared" si="4"/>
        <v>#DIV/0!</v>
      </c>
    </row>
    <row r="12" spans="1:37">
      <c r="A12" s="7" t="s">
        <v>27</v>
      </c>
      <c r="B12" s="20">
        <v>0.586</v>
      </c>
      <c r="C12" s="20">
        <v>0.628260457370859</v>
      </c>
      <c r="D12" s="20">
        <v>0.315096278</v>
      </c>
      <c r="E12" s="20">
        <v>0.297572</v>
      </c>
      <c r="F12" s="20">
        <v>0.0427646786870087</v>
      </c>
      <c r="G12" s="20">
        <v>0.846724580170607</v>
      </c>
      <c r="H12" s="20">
        <v>0.091930148404993</v>
      </c>
      <c r="I12" s="20">
        <v>0.0908756356911696</v>
      </c>
      <c r="J12" s="20">
        <v>0.483</v>
      </c>
      <c r="K12" s="20">
        <v>0.738425620016739</v>
      </c>
      <c r="L12" s="20">
        <v>0.267132833</v>
      </c>
      <c r="M12" s="20">
        <v>0.239641999999999</v>
      </c>
      <c r="N12" s="21">
        <v>0.85995085995086</v>
      </c>
      <c r="O12" s="21">
        <v>0.700420495683653</v>
      </c>
      <c r="P12" s="21">
        <v>0.195346235872235</v>
      </c>
      <c r="Q12" s="21">
        <v>0.213059787059787</v>
      </c>
      <c r="R12" s="21">
        <v>0.386160714285714</v>
      </c>
      <c r="S12" s="21">
        <v>0.530825013137151</v>
      </c>
      <c r="T12" s="21">
        <v>0.416652927085813</v>
      </c>
      <c r="U12" s="20">
        <v>0.349302157738095</v>
      </c>
      <c r="V12" s="20">
        <v>0.546</v>
      </c>
      <c r="W12" s="20">
        <v>0.589412789853318</v>
      </c>
      <c r="X12" s="20">
        <v>0.388572222164535</v>
      </c>
      <c r="Y12" s="20">
        <v>0.385748171428571</v>
      </c>
      <c r="Z12" s="20">
        <v>0.780894617134192</v>
      </c>
      <c r="AA12" s="20">
        <v>0.55036953673531</v>
      </c>
      <c r="AB12" s="20">
        <v>0.204843532495816</v>
      </c>
      <c r="AC12" s="20">
        <v>0.207834774642204</v>
      </c>
      <c r="AD12" s="20">
        <v>0.402</v>
      </c>
      <c r="AE12" s="20">
        <v>0.799339423284913</v>
      </c>
      <c r="AF12" s="20">
        <v>0.223540506000596</v>
      </c>
      <c r="AG12" s="20">
        <v>0.213893999997019</v>
      </c>
      <c r="AH12" s="22">
        <f t="shared" si="1"/>
        <v>0.500110124293968</v>
      </c>
      <c r="AI12" s="22">
        <f t="shared" si="2"/>
        <v>0.679359636983099</v>
      </c>
      <c r="AJ12" s="22">
        <f t="shared" si="3"/>
        <v>0.255431200717713</v>
      </c>
      <c r="AK12" s="22">
        <f t="shared" si="4"/>
        <v>0.242908075222406</v>
      </c>
    </row>
    <row r="13" spans="1:37">
      <c r="A13" s="7" t="s">
        <v>28</v>
      </c>
      <c r="B13" s="20">
        <v>0.586</v>
      </c>
      <c r="C13" s="20">
        <v>0.638950718042571</v>
      </c>
      <c r="D13" s="20">
        <v>0.2344575</v>
      </c>
      <c r="E13" s="20">
        <v>0.0625499999999999</v>
      </c>
      <c r="F13" s="20">
        <v>0.110494683310217</v>
      </c>
      <c r="G13" s="20">
        <v>0.597502968449621</v>
      </c>
      <c r="H13" s="20">
        <v>0.243091192787794</v>
      </c>
      <c r="I13" s="20">
        <v>0.326895515487748</v>
      </c>
      <c r="J13" s="20">
        <v>0.5025</v>
      </c>
      <c r="K13" s="20">
        <v>0.717470436760919</v>
      </c>
      <c r="L13" s="20">
        <v>0.23443</v>
      </c>
      <c r="M13" s="20">
        <v>0.140599999999999</v>
      </c>
      <c r="N13" s="21">
        <v>0.882882882882882</v>
      </c>
      <c r="O13" s="21">
        <v>0.698794711781724</v>
      </c>
      <c r="P13" s="21">
        <v>0.197252252252252</v>
      </c>
      <c r="Q13" s="21">
        <v>0.305405405405405</v>
      </c>
      <c r="R13" s="21">
        <v>0.395089285714285</v>
      </c>
      <c r="S13" s="21">
        <v>0.558206683761752</v>
      </c>
      <c r="T13" s="21">
        <v>0.251286607142857</v>
      </c>
      <c r="U13" s="20">
        <v>0.0984821428571428</v>
      </c>
      <c r="V13" s="20">
        <v>0.502</v>
      </c>
      <c r="W13" s="20">
        <v>0.724947599161586</v>
      </c>
      <c r="X13" s="20">
        <v>0.236307252009876</v>
      </c>
      <c r="Y13" s="20">
        <v>0.150862844444444</v>
      </c>
      <c r="Z13" s="20">
        <v>0.685367702805155</v>
      </c>
      <c r="AA13" s="20">
        <v>0.641724864058001</v>
      </c>
      <c r="AB13" s="20">
        <v>0.201628885519332</v>
      </c>
      <c r="AC13" s="20">
        <v>0.0518802122820319</v>
      </c>
      <c r="AD13" s="20"/>
      <c r="AE13" s="20"/>
      <c r="AF13" s="20"/>
      <c r="AG13" s="20"/>
      <c r="AH13" s="22">
        <f t="shared" si="1"/>
        <v>0.513055759118756</v>
      </c>
      <c r="AI13" s="22">
        <f t="shared" si="2"/>
        <v>0.656441210662267</v>
      </c>
      <c r="AJ13" s="22">
        <f t="shared" si="3"/>
        <v>0.227332698285352</v>
      </c>
      <c r="AK13" s="22">
        <f t="shared" si="4"/>
        <v>0.179021020079462</v>
      </c>
    </row>
    <row r="14" ht="19" customHeight="1" spans="1:37">
      <c r="A14" s="7" t="s">
        <v>29</v>
      </c>
      <c r="B14" s="20">
        <v>0.607</v>
      </c>
      <c r="C14" s="20">
        <v>0.653233480471681</v>
      </c>
      <c r="D14" s="20">
        <v>0.29614844201</v>
      </c>
      <c r="E14" s="20">
        <v>0.2671919</v>
      </c>
      <c r="F14" s="20">
        <v>0.0998613037447988</v>
      </c>
      <c r="G14" s="20">
        <v>0.59495377503852</v>
      </c>
      <c r="H14" s="20">
        <v>0.275740690709662</v>
      </c>
      <c r="I14" s="20">
        <v>0.275088280166435</v>
      </c>
      <c r="J14" s="20">
        <v>0.5035</v>
      </c>
      <c r="K14" s="20">
        <v>0.700465822825318</v>
      </c>
      <c r="L14" s="20">
        <v>0.289524452005</v>
      </c>
      <c r="M14" s="20">
        <v>0.25555895</v>
      </c>
      <c r="N14" s="21">
        <v>0.874692874692874</v>
      </c>
      <c r="O14" s="21">
        <v>0.746585150914298</v>
      </c>
      <c r="P14" s="21">
        <v>0.174102375102375</v>
      </c>
      <c r="Q14" s="21">
        <v>0.209598689598689</v>
      </c>
      <c r="R14" s="21">
        <v>0.399553571428571</v>
      </c>
      <c r="S14" s="21">
        <v>0.51661440053166</v>
      </c>
      <c r="T14" s="21">
        <v>0.339043936021893</v>
      </c>
      <c r="U14" s="20">
        <v>0.256978962797619</v>
      </c>
      <c r="V14" s="20">
        <v>0.57</v>
      </c>
      <c r="W14" s="20">
        <v>0.681901264789881</v>
      </c>
      <c r="X14" s="20">
        <v>0.281293208349956</v>
      </c>
      <c r="Y14" s="20">
        <v>0.240755015384615</v>
      </c>
      <c r="Z14" s="20">
        <v>0.774071266110689</v>
      </c>
      <c r="AA14" s="20">
        <v>0.643204122816819</v>
      </c>
      <c r="AB14" s="20">
        <v>0.192783497198105</v>
      </c>
      <c r="AC14" s="20">
        <v>0.177253803262465</v>
      </c>
      <c r="AD14" s="20">
        <v>0.432</v>
      </c>
      <c r="AE14" s="20">
        <v>0.792017149191445</v>
      </c>
      <c r="AF14" s="20">
        <v>0.245089374019999</v>
      </c>
      <c r="AG14" s="20">
        <v>0.2325658</v>
      </c>
      <c r="AH14" s="22">
        <f>AVERAGE(AD14,Z12,V14,R14,N14,J14,F14)</f>
        <v>0.522928909571491</v>
      </c>
      <c r="AI14" s="22">
        <f>AVERAGE(AE14,AA12,W14,S14,O14,K14,G14)</f>
        <v>0.65470101428949</v>
      </c>
      <c r="AJ14" s="22">
        <f>AVERAGE(AF14,AB12,X14,T14,P14,L14,H14)</f>
        <v>0.2585196526721</v>
      </c>
      <c r="AK14" s="22">
        <f>AVERAGE(AG14,AC12,Y14,U14,Q14,M14,I14)</f>
        <v>0.239768638941366</v>
      </c>
    </row>
    <row r="15" ht="19" customHeight="1" spans="1:37">
      <c r="A15" s="7" t="s">
        <v>30</v>
      </c>
      <c r="B15" s="20">
        <v>0.592</v>
      </c>
      <c r="C15" s="20">
        <v>0.645139854928457</v>
      </c>
      <c r="D15" s="20">
        <v>0.236365</v>
      </c>
      <c r="E15" s="20">
        <v>0.0888</v>
      </c>
      <c r="F15" s="20">
        <v>0.101017105871474</v>
      </c>
      <c r="G15" s="20">
        <v>0.642793468404989</v>
      </c>
      <c r="H15" s="20">
        <v>0.151091655108645</v>
      </c>
      <c r="I15" s="20">
        <v>0.190765141007859</v>
      </c>
      <c r="J15" s="20">
        <v>0.5155</v>
      </c>
      <c r="K15" s="20">
        <v>0.737934154722688</v>
      </c>
      <c r="L15" s="20">
        <v>0.20769125</v>
      </c>
      <c r="M15" s="20">
        <v>0.0273749999999999</v>
      </c>
      <c r="N15" s="21">
        <v>0.879606879606879</v>
      </c>
      <c r="O15" s="21">
        <v>0.734272666235954</v>
      </c>
      <c r="P15" s="21">
        <v>0.271234643734643</v>
      </c>
      <c r="Q15" s="21">
        <v>0.415683865683865</v>
      </c>
      <c r="R15" s="21">
        <v>0.390625</v>
      </c>
      <c r="S15" s="21">
        <v>0.506321297749869</v>
      </c>
      <c r="T15" s="21">
        <v>0.255438392857142</v>
      </c>
      <c r="U15" s="20">
        <v>0.102053571428571</v>
      </c>
      <c r="V15" s="20">
        <v>0.506</v>
      </c>
      <c r="W15" s="20">
        <v>0.740506632955145</v>
      </c>
      <c r="X15" s="20">
        <v>0.20852358592</v>
      </c>
      <c r="Y15" s="20">
        <v>0.0715127999999999</v>
      </c>
      <c r="Z15" s="20">
        <v>0.739196360879454</v>
      </c>
      <c r="AA15" s="20">
        <v>0.730682766845557</v>
      </c>
      <c r="AB15" s="20">
        <v>0.204828430652482</v>
      </c>
      <c r="AC15" s="20">
        <v>0.203312983320697</v>
      </c>
      <c r="AD15" s="20">
        <v>0.424</v>
      </c>
      <c r="AE15" s="20">
        <v>0.784386464884696</v>
      </c>
      <c r="AF15" s="20">
        <v>0.18588</v>
      </c>
      <c r="AG15" s="20">
        <v>0.0256</v>
      </c>
      <c r="AH15" s="22">
        <f t="shared" si="1"/>
        <v>0.507992192336829</v>
      </c>
      <c r="AI15" s="22">
        <f t="shared" si="2"/>
        <v>0.696699635971271</v>
      </c>
      <c r="AJ15" s="22">
        <f t="shared" si="3"/>
        <v>0.212098279753273</v>
      </c>
      <c r="AK15" s="22">
        <f t="shared" si="4"/>
        <v>0.148043337348713</v>
      </c>
    </row>
    <row r="16" ht="19" customHeight="1" spans="1:37">
      <c r="A16" s="7" t="s">
        <v>31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2" t="e">
        <f t="shared" si="1"/>
        <v>#DIV/0!</v>
      </c>
      <c r="AI16" s="22" t="e">
        <f t="shared" si="2"/>
        <v>#DIV/0!</v>
      </c>
      <c r="AJ16" s="22" t="e">
        <f t="shared" si="3"/>
        <v>#DIV/0!</v>
      </c>
      <c r="AK16" s="22" t="e">
        <f t="shared" si="4"/>
        <v>#DIV/0!</v>
      </c>
    </row>
    <row r="17" ht="19" customHeight="1" spans="1:37">
      <c r="A17" s="7" t="s">
        <v>32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2" t="e">
        <f t="shared" si="1"/>
        <v>#DIV/0!</v>
      </c>
      <c r="AI17" s="22" t="e">
        <f t="shared" si="2"/>
        <v>#DIV/0!</v>
      </c>
      <c r="AJ17" s="22" t="e">
        <f t="shared" si="3"/>
        <v>#DIV/0!</v>
      </c>
      <c r="AK17" s="22" t="e">
        <f t="shared" si="4"/>
        <v>#DIV/0!</v>
      </c>
    </row>
    <row r="18" ht="19" customHeight="1" spans="1:37">
      <c r="A18" s="23" t="s">
        <v>33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2" t="e">
        <f t="shared" si="1"/>
        <v>#DIV/0!</v>
      </c>
      <c r="AI18" s="22" t="e">
        <f t="shared" si="2"/>
        <v>#DIV/0!</v>
      </c>
      <c r="AJ18" s="22" t="e">
        <f t="shared" si="3"/>
        <v>#DIV/0!</v>
      </c>
      <c r="AK18" s="22" t="e">
        <f t="shared" si="4"/>
        <v>#DIV/0!</v>
      </c>
    </row>
    <row r="19" spans="1:37">
      <c r="A19" s="18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</row>
    <row r="20" spans="1:37">
      <c r="A20" s="7" t="s">
        <v>21</v>
      </c>
      <c r="B20" s="21">
        <v>0.449</v>
      </c>
      <c r="C20" s="21">
        <v>0.523530814595046</v>
      </c>
      <c r="D20" s="21">
        <v>0.5431775</v>
      </c>
      <c r="E20" s="21">
        <v>0.54615</v>
      </c>
      <c r="F20" s="21">
        <v>0.118354137771613</v>
      </c>
      <c r="G20" s="21">
        <v>0.608906434353696</v>
      </c>
      <c r="H20" s="21">
        <v>0.707916088765603</v>
      </c>
      <c r="I20" s="21">
        <v>0.767267683772538</v>
      </c>
      <c r="J20" s="21">
        <v>0.5805</v>
      </c>
      <c r="K20" s="21">
        <v>0.576300279546115</v>
      </c>
      <c r="L20" s="21">
        <v>0.40117125</v>
      </c>
      <c r="M20" s="21">
        <v>0.405724999999999</v>
      </c>
      <c r="N20" s="21">
        <v>0.886977886977886</v>
      </c>
      <c r="O20" s="21">
        <v>0.68519076103684</v>
      </c>
      <c r="P20" s="21">
        <v>0.10002457002457</v>
      </c>
      <c r="Q20" s="21">
        <v>0.0753480753480753</v>
      </c>
      <c r="R20" s="21">
        <v>0.475446428571428</v>
      </c>
      <c r="S20" s="21">
        <v>0.531045849565478</v>
      </c>
      <c r="T20" s="21">
        <v>0.481640625</v>
      </c>
      <c r="U20" s="21">
        <v>0.481026785714285</v>
      </c>
      <c r="V20" s="21">
        <v>0.6</v>
      </c>
      <c r="W20" s="21">
        <v>0.505866666666666</v>
      </c>
      <c r="X20" s="21">
        <v>0.39886</v>
      </c>
      <c r="Y20" s="21">
        <v>0.399</v>
      </c>
      <c r="Z20" s="21">
        <v>0.805155420773313</v>
      </c>
      <c r="AA20" s="21">
        <v>0.510249730704126</v>
      </c>
      <c r="AB20" s="21">
        <v>0.194412433661865</v>
      </c>
      <c r="AC20" s="21">
        <v>0.194465504169825</v>
      </c>
      <c r="AD20" s="21">
        <v>0.342</v>
      </c>
      <c r="AE20" s="21">
        <v>0.556764251053164</v>
      </c>
      <c r="AF20" s="21">
        <v>0.626095</v>
      </c>
      <c r="AG20" s="21">
        <v>0.6345</v>
      </c>
      <c r="AH20" s="24">
        <f t="shared" ref="AH20:AK20" si="5">AVERAGE(AD20,Z20,V20,R20,N20,J20,F20)</f>
        <v>0.544061982013463</v>
      </c>
      <c r="AI20" s="25">
        <f t="shared" si="5"/>
        <v>0.567760567560869</v>
      </c>
      <c r="AJ20" s="25">
        <f t="shared" si="5"/>
        <v>0.41573142392172</v>
      </c>
      <c r="AK20" s="25">
        <f t="shared" si="5"/>
        <v>0.422476149857817</v>
      </c>
    </row>
    <row r="21" spans="1:37">
      <c r="A21" s="7" t="s">
        <v>22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4" t="e">
        <f t="shared" ref="AH21:AH29" si="6">AVERAGE(AD21,Z21,V21,R21,N21,J21,F21)</f>
        <v>#DIV/0!</v>
      </c>
      <c r="AI21" s="25" t="e">
        <f t="shared" ref="AI21:AI29" si="7">AVERAGE(AE21,AA21,W21,S21,O21,K21,G21)</f>
        <v>#DIV/0!</v>
      </c>
      <c r="AJ21" s="25" t="e">
        <f t="shared" ref="AJ21:AJ29" si="8">AVERAGE(AF21,AB21,X21,T21,P21,L21,H21)</f>
        <v>#DIV/0!</v>
      </c>
      <c r="AK21" s="25" t="e">
        <f t="shared" ref="AK21:AK29" si="9">AVERAGE(AG21,AC21,Y21,U21,Q21,M21,I21)</f>
        <v>#DIV/0!</v>
      </c>
    </row>
    <row r="22" spans="1:37">
      <c r="A22" s="7" t="s">
        <v>23</v>
      </c>
      <c r="B22" s="26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4" t="e">
        <f t="shared" si="6"/>
        <v>#DIV/0!</v>
      </c>
      <c r="AI22" s="25" t="e">
        <f t="shared" si="7"/>
        <v>#DIV/0!</v>
      </c>
      <c r="AJ22" s="25" t="e">
        <f t="shared" si="8"/>
        <v>#DIV/0!</v>
      </c>
      <c r="AK22" s="25" t="e">
        <f t="shared" si="9"/>
        <v>#DIV/0!</v>
      </c>
    </row>
    <row r="23" spans="1:37">
      <c r="A23" s="7" t="s">
        <v>24</v>
      </c>
      <c r="B23" s="26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4" t="e">
        <f t="shared" si="6"/>
        <v>#DIV/0!</v>
      </c>
      <c r="AI23" s="25" t="e">
        <f t="shared" si="7"/>
        <v>#DIV/0!</v>
      </c>
      <c r="AJ23" s="25" t="e">
        <f t="shared" si="8"/>
        <v>#DIV/0!</v>
      </c>
      <c r="AK23" s="25" t="e">
        <f t="shared" si="9"/>
        <v>#DIV/0!</v>
      </c>
    </row>
    <row r="24" spans="1:37">
      <c r="A24" s="7" t="s">
        <v>25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4" t="e">
        <f t="shared" si="6"/>
        <v>#DIV/0!</v>
      </c>
      <c r="AI24" s="25" t="e">
        <f t="shared" si="7"/>
        <v>#DIV/0!</v>
      </c>
      <c r="AJ24" s="25" t="e">
        <f t="shared" si="8"/>
        <v>#DIV/0!</v>
      </c>
      <c r="AK24" s="25" t="e">
        <f t="shared" si="9"/>
        <v>#DIV/0!</v>
      </c>
    </row>
    <row r="25" spans="1:37">
      <c r="A25" s="7" t="s">
        <v>26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4" t="e">
        <f t="shared" si="6"/>
        <v>#DIV/0!</v>
      </c>
      <c r="AI25" s="25" t="e">
        <f t="shared" si="7"/>
        <v>#DIV/0!</v>
      </c>
      <c r="AJ25" s="25" t="e">
        <f t="shared" si="8"/>
        <v>#DIV/0!</v>
      </c>
      <c r="AK25" s="25" t="e">
        <f t="shared" si="9"/>
        <v>#DIV/0!</v>
      </c>
    </row>
    <row r="26" spans="1:37">
      <c r="A26" s="7" t="s">
        <v>28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7"/>
      <c r="W26" s="27"/>
      <c r="X26" s="27"/>
      <c r="Y26" s="27"/>
      <c r="Z26" s="21"/>
      <c r="AA26" s="21"/>
      <c r="AB26" s="21"/>
      <c r="AC26" s="21"/>
      <c r="AD26" s="21"/>
      <c r="AE26" s="21"/>
      <c r="AF26" s="21"/>
      <c r="AG26" s="21"/>
      <c r="AH26" s="24" t="e">
        <f t="shared" si="6"/>
        <v>#DIV/0!</v>
      </c>
      <c r="AI26" s="25" t="e">
        <f t="shared" si="7"/>
        <v>#DIV/0!</v>
      </c>
      <c r="AJ26" s="25" t="e">
        <f t="shared" si="8"/>
        <v>#DIV/0!</v>
      </c>
      <c r="AK26" s="25" t="e">
        <f t="shared" si="9"/>
        <v>#DIV/0!</v>
      </c>
    </row>
    <row r="27" ht="19" customHeight="1" spans="1:37">
      <c r="A27" s="7" t="s">
        <v>31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8"/>
      <c r="W27" s="28"/>
      <c r="X27" s="28"/>
      <c r="Y27" s="28"/>
      <c r="Z27" s="21"/>
      <c r="AA27" s="21"/>
      <c r="AB27" s="21"/>
      <c r="AC27" s="21"/>
      <c r="AD27" s="21"/>
      <c r="AE27" s="21"/>
      <c r="AF27" s="21"/>
      <c r="AG27" s="21"/>
      <c r="AH27" s="24" t="e">
        <f t="shared" si="6"/>
        <v>#DIV/0!</v>
      </c>
      <c r="AI27" s="25" t="e">
        <f t="shared" si="7"/>
        <v>#DIV/0!</v>
      </c>
      <c r="AJ27" s="25" t="e">
        <f t="shared" si="8"/>
        <v>#DIV/0!</v>
      </c>
      <c r="AK27" s="25" t="e">
        <f t="shared" si="9"/>
        <v>#DIV/0!</v>
      </c>
    </row>
    <row r="28" ht="19" customHeight="1" spans="1:37">
      <c r="A28" s="7" t="s">
        <v>32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7"/>
      <c r="W28" s="27"/>
      <c r="X28" s="27"/>
      <c r="Y28" s="27"/>
      <c r="Z28" s="21"/>
      <c r="AA28" s="21"/>
      <c r="AB28" s="21"/>
      <c r="AC28" s="21"/>
      <c r="AD28" s="21"/>
      <c r="AE28" s="21"/>
      <c r="AF28" s="21"/>
      <c r="AG28" s="21"/>
      <c r="AH28" s="24" t="e">
        <f t="shared" si="6"/>
        <v>#DIV/0!</v>
      </c>
      <c r="AI28" s="25" t="e">
        <f t="shared" si="7"/>
        <v>#DIV/0!</v>
      </c>
      <c r="AJ28" s="25" t="e">
        <f t="shared" si="8"/>
        <v>#DIV/0!</v>
      </c>
      <c r="AK28" s="25" t="e">
        <f t="shared" si="9"/>
        <v>#DIV/0!</v>
      </c>
    </row>
    <row r="29" ht="19" customHeight="1" spans="1:37">
      <c r="A29" s="7" t="s">
        <v>33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7"/>
      <c r="W29" s="27"/>
      <c r="X29" s="27"/>
      <c r="Y29" s="27"/>
      <c r="Z29" s="21"/>
      <c r="AA29" s="21"/>
      <c r="AB29" s="21"/>
      <c r="AC29" s="21"/>
      <c r="AD29" s="21"/>
      <c r="AE29" s="21"/>
      <c r="AF29" s="21"/>
      <c r="AG29" s="21"/>
      <c r="AH29" s="24" t="e">
        <f t="shared" si="6"/>
        <v>#DIV/0!</v>
      </c>
      <c r="AI29" s="25" t="e">
        <f t="shared" si="7"/>
        <v>#DIV/0!</v>
      </c>
      <c r="AJ29" s="25" t="e">
        <f t="shared" si="8"/>
        <v>#DIV/0!</v>
      </c>
      <c r="AK29" s="25" t="e">
        <f t="shared" si="9"/>
        <v>#DIV/0!</v>
      </c>
    </row>
    <row r="34" customHeight="1" spans="1:37">
      <c r="A34" s="29" t="s">
        <v>0</v>
      </c>
      <c r="B34" s="30" t="s">
        <v>35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>
      <c r="A35" s="30"/>
      <c r="B35" s="5" t="s">
        <v>2</v>
      </c>
      <c r="C35" s="5"/>
      <c r="D35" s="5"/>
      <c r="E35" s="6"/>
      <c r="F35" s="7" t="s">
        <v>3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8" t="s">
        <v>4</v>
      </c>
      <c r="AI35" s="8" t="s">
        <v>5</v>
      </c>
      <c r="AJ35" s="8" t="s">
        <v>6</v>
      </c>
      <c r="AK35" s="8" t="s">
        <v>7</v>
      </c>
    </row>
    <row r="36" spans="1:37">
      <c r="A36" s="30"/>
      <c r="B36" s="9" t="s">
        <v>36</v>
      </c>
      <c r="C36" s="9"/>
      <c r="D36" s="9"/>
      <c r="E36" s="9"/>
      <c r="F36" s="10" t="s">
        <v>9</v>
      </c>
      <c r="G36" s="10"/>
      <c r="H36" s="10"/>
      <c r="I36" s="10"/>
      <c r="J36" s="10" t="s">
        <v>10</v>
      </c>
      <c r="K36" s="10"/>
      <c r="L36" s="10"/>
      <c r="M36" s="10"/>
      <c r="N36" s="10" t="s">
        <v>11</v>
      </c>
      <c r="O36" s="10"/>
      <c r="P36" s="10"/>
      <c r="Q36" s="10"/>
      <c r="R36" s="10" t="s">
        <v>12</v>
      </c>
      <c r="S36" s="10"/>
      <c r="T36" s="10"/>
      <c r="U36" s="10"/>
      <c r="V36" s="10" t="s">
        <v>8</v>
      </c>
      <c r="W36" s="10"/>
      <c r="X36" s="10"/>
      <c r="Y36" s="10"/>
      <c r="Z36" s="10" t="s">
        <v>14</v>
      </c>
      <c r="AA36" s="10"/>
      <c r="AB36" s="10"/>
      <c r="AC36" s="10"/>
      <c r="AD36" s="10" t="s">
        <v>13</v>
      </c>
      <c r="AE36" s="10"/>
      <c r="AF36" s="10"/>
      <c r="AG36" s="10"/>
      <c r="AH36" s="8"/>
      <c r="AI36" s="8"/>
      <c r="AJ36" s="8"/>
      <c r="AK36" s="8"/>
    </row>
    <row r="37" spans="1:37">
      <c r="A37" s="30"/>
      <c r="B37" s="13" t="s">
        <v>16</v>
      </c>
      <c r="C37" s="14" t="s">
        <v>17</v>
      </c>
      <c r="D37" s="14" t="s">
        <v>18</v>
      </c>
      <c r="E37" s="15" t="s">
        <v>19</v>
      </c>
      <c r="F37" s="9" t="s">
        <v>16</v>
      </c>
      <c r="G37" s="16" t="s">
        <v>17</v>
      </c>
      <c r="H37" s="16" t="s">
        <v>18</v>
      </c>
      <c r="I37" s="17" t="s">
        <v>19</v>
      </c>
      <c r="J37" s="13" t="s">
        <v>16</v>
      </c>
      <c r="K37" s="14" t="s">
        <v>17</v>
      </c>
      <c r="L37" s="14" t="s">
        <v>18</v>
      </c>
      <c r="M37" s="15" t="s">
        <v>19</v>
      </c>
      <c r="N37" s="13" t="s">
        <v>16</v>
      </c>
      <c r="O37" s="14" t="s">
        <v>17</v>
      </c>
      <c r="P37" s="14" t="s">
        <v>18</v>
      </c>
      <c r="Q37" s="15" t="s">
        <v>19</v>
      </c>
      <c r="R37" s="13" t="s">
        <v>16</v>
      </c>
      <c r="S37" s="14" t="s">
        <v>17</v>
      </c>
      <c r="T37" s="14" t="s">
        <v>18</v>
      </c>
      <c r="U37" s="15" t="s">
        <v>19</v>
      </c>
      <c r="V37" s="13" t="s">
        <v>16</v>
      </c>
      <c r="W37" s="14" t="s">
        <v>17</v>
      </c>
      <c r="X37" s="14" t="s">
        <v>18</v>
      </c>
      <c r="Y37" s="15" t="s">
        <v>19</v>
      </c>
      <c r="Z37" s="13" t="s">
        <v>16</v>
      </c>
      <c r="AA37" s="14" t="s">
        <v>17</v>
      </c>
      <c r="AB37" s="14" t="s">
        <v>18</v>
      </c>
      <c r="AC37" s="15" t="s">
        <v>19</v>
      </c>
      <c r="AD37" s="13" t="s">
        <v>16</v>
      </c>
      <c r="AE37" s="14" t="s">
        <v>17</v>
      </c>
      <c r="AF37" s="14" t="s">
        <v>18</v>
      </c>
      <c r="AG37" s="15" t="s">
        <v>19</v>
      </c>
      <c r="AH37" s="8"/>
      <c r="AI37" s="8"/>
      <c r="AJ37" s="8"/>
      <c r="AK37" s="8"/>
    </row>
    <row r="38" spans="1:37">
      <c r="A38" s="18" t="s">
        <v>20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</row>
    <row r="39" spans="1:37">
      <c r="A39" s="5" t="s">
        <v>21</v>
      </c>
      <c r="B39" s="20">
        <v>0.522</v>
      </c>
      <c r="C39" s="20">
        <v>0.563751422754452</v>
      </c>
      <c r="D39" s="20">
        <v>0.464219</v>
      </c>
      <c r="E39" s="20">
        <v>0.4676</v>
      </c>
      <c r="F39" s="21">
        <f>F6</f>
        <v>0.0929264909847434</v>
      </c>
      <c r="G39" s="21">
        <f t="shared" ref="G39:U39" si="10">G6</f>
        <v>0.591062906669506</v>
      </c>
      <c r="H39" s="21">
        <f t="shared" si="10"/>
        <v>0.705082917244567</v>
      </c>
      <c r="I39" s="21">
        <f t="shared" si="10"/>
        <v>0.726558021266759</v>
      </c>
      <c r="J39" s="21">
        <f t="shared" si="10"/>
        <v>0.482</v>
      </c>
      <c r="K39" s="21">
        <f t="shared" si="10"/>
        <v>0.581368954164597</v>
      </c>
      <c r="L39" s="21">
        <f t="shared" si="10"/>
        <v>0.46800755</v>
      </c>
      <c r="M39" s="21">
        <f t="shared" si="10"/>
        <v>0.473095</v>
      </c>
      <c r="N39" s="21">
        <f t="shared" si="10"/>
        <v>0.86076986076986</v>
      </c>
      <c r="O39" s="21">
        <f t="shared" si="10"/>
        <v>0.619443667095763</v>
      </c>
      <c r="P39" s="21">
        <f t="shared" si="10"/>
        <v>0.127618755118755</v>
      </c>
      <c r="Q39" s="21">
        <f t="shared" si="10"/>
        <v>0.115929565929565</v>
      </c>
      <c r="R39" s="21">
        <f t="shared" si="10"/>
        <v>0.446428571428571</v>
      </c>
      <c r="S39" s="21">
        <f t="shared" si="10"/>
        <v>0.496441532258064</v>
      </c>
      <c r="T39" s="21">
        <f t="shared" si="10"/>
        <v>0.515220957589285</v>
      </c>
      <c r="U39" s="21">
        <f t="shared" si="10"/>
        <v>0.515216517857142</v>
      </c>
      <c r="V39" s="21">
        <f>B6</f>
        <v>0.459</v>
      </c>
      <c r="W39" s="21">
        <f>C6</f>
        <v>0.559838353086151</v>
      </c>
      <c r="X39" s="21">
        <f>D6</f>
        <v>0.5002526</v>
      </c>
      <c r="Y39" s="21">
        <f>E6</f>
        <v>0.50314</v>
      </c>
      <c r="Z39" s="21">
        <f>Z6</f>
        <v>0.733889310083396</v>
      </c>
      <c r="AA39" s="21">
        <f>AA6</f>
        <v>0.53642043982953</v>
      </c>
      <c r="AB39" s="21">
        <f>AB6</f>
        <v>0.260898407884761</v>
      </c>
      <c r="AC39" s="21">
        <f>AC6</f>
        <v>0.26163760424564</v>
      </c>
      <c r="AD39" s="26">
        <f>V6</f>
        <v>0.516</v>
      </c>
      <c r="AE39" s="26">
        <f>W6</f>
        <v>0.546303414696649</v>
      </c>
      <c r="AF39" s="26">
        <f>X6</f>
        <v>0.472356200708616</v>
      </c>
      <c r="AG39" s="26">
        <f>Y6</f>
        <v>0.474764523809523</v>
      </c>
      <c r="AH39" s="22">
        <f>AVERAGE(B39,Z39,V39,R39,N39,J39,F39)</f>
        <v>0.513859176180939</v>
      </c>
      <c r="AI39" s="22">
        <f t="shared" ref="AI39:AK39" si="11">AVERAGE(C39,AA39,W39,S39,O39,K39,G39)</f>
        <v>0.564046753694009</v>
      </c>
      <c r="AJ39" s="22">
        <f t="shared" si="11"/>
        <v>0.434471455405338</v>
      </c>
      <c r="AK39" s="22">
        <f t="shared" si="11"/>
        <v>0.437596672757015</v>
      </c>
    </row>
    <row r="40" spans="1:37">
      <c r="A40" s="5" t="s">
        <v>22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0"/>
      <c r="AE40" s="20"/>
      <c r="AF40" s="20"/>
      <c r="AG40" s="20"/>
      <c r="AH40" s="22" t="e">
        <f>AVERAGE(AD40,Z40,V40,R40,N40,J40,F40)</f>
        <v>#DIV/0!</v>
      </c>
      <c r="AI40" s="22" t="e">
        <f>AVERAGE(AE40,AA40,W40,S40,O40,K40,G40)</f>
        <v>#DIV/0!</v>
      </c>
      <c r="AJ40" s="22" t="e">
        <f>AVERAGE(AF40,AB40,X40,T40,P40,L40,H40)</f>
        <v>#DIV/0!</v>
      </c>
      <c r="AK40" s="22" t="e">
        <f>AVERAGE(AG40,AC40,Y40,U40,Q40,M40,I40)</f>
        <v>#DIV/0!</v>
      </c>
    </row>
    <row r="41" spans="1:37">
      <c r="A41" s="5" t="s">
        <v>23</v>
      </c>
      <c r="B41" s="26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0"/>
      <c r="AE41" s="20"/>
      <c r="AF41" s="20"/>
      <c r="AG41" s="20"/>
      <c r="AH41" s="22" t="e">
        <f>AVERAGE(AD41,Z41,V41,R41,N41,J41,F41)</f>
        <v>#DIV/0!</v>
      </c>
      <c r="AI41" s="22" t="e">
        <f>AVERAGE(AE41,AA41,W41,S41,O41,K41,G41)</f>
        <v>#DIV/0!</v>
      </c>
      <c r="AJ41" s="22" t="e">
        <f>AVERAGE(AF41,AB41,X41,T41,P41,L41,H41)</f>
        <v>#DIV/0!</v>
      </c>
      <c r="AK41" s="22" t="e">
        <f>AVERAGE(AG41,AC41,Y41,U41,Q41,M41,I41)</f>
        <v>#DIV/0!</v>
      </c>
    </row>
    <row r="42" spans="1:37">
      <c r="A42" s="5" t="s">
        <v>24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0"/>
      <c r="AE42" s="20"/>
      <c r="AF42" s="20"/>
      <c r="AG42" s="20"/>
      <c r="AH42" s="22" t="e">
        <f>AVERAGE(AD42,Z42,V42,R42,N42,J42,F42)</f>
        <v>#DIV/0!</v>
      </c>
      <c r="AI42" s="22" t="e">
        <f>AVERAGE(AE42,AA42,W42,S42,O42,K42,G42)</f>
        <v>#DIV/0!</v>
      </c>
      <c r="AJ42" s="22" t="e">
        <f>AVERAGE(AF42,AB42,X42,T42,P42,L42,H42)</f>
        <v>#DIV/0!</v>
      </c>
      <c r="AK42" s="22" t="e">
        <f>AVERAGE(AG42,AC42,Y42,U42,Q42,M42,I42)</f>
        <v>#DIV/0!</v>
      </c>
    </row>
    <row r="43" spans="1:37">
      <c r="A43" s="6" t="s">
        <v>25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0"/>
      <c r="AE43" s="20"/>
      <c r="AF43" s="20"/>
      <c r="AG43" s="20"/>
      <c r="AH43" s="22" t="e">
        <f>AVERAGE(AD43,Z43,V43,R43,N43,J43,F43)</f>
        <v>#DIV/0!</v>
      </c>
      <c r="AI43" s="22" t="e">
        <f>AVERAGE(AE43,AA43,W43,S43,O43,K43,G43)</f>
        <v>#DIV/0!</v>
      </c>
      <c r="AJ43" s="22" t="e">
        <f>AVERAGE(AF43,AB43,X43,T43,P43,L43,H43)</f>
        <v>#DIV/0!</v>
      </c>
      <c r="AK43" s="22" t="e">
        <f>AVERAGE(AG43,AC43,Y43,U43,Q43,M43,I43)</f>
        <v>#DIV/0!</v>
      </c>
    </row>
    <row r="44" spans="1:37">
      <c r="A44" s="6" t="s">
        <v>26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0"/>
      <c r="AA44" s="20"/>
      <c r="AB44" s="20"/>
      <c r="AC44" s="20"/>
      <c r="AD44" s="20"/>
      <c r="AE44" s="20"/>
      <c r="AF44" s="20"/>
      <c r="AG44" s="20"/>
      <c r="AH44" s="22" t="e">
        <f>AVERAGE(AD44,Z44,V44,R44,N44,J44,F44)</f>
        <v>#DIV/0!</v>
      </c>
      <c r="AI44" s="22" t="e">
        <f>AVERAGE(AE44,AA44,W44,S44,O44,K44,G44)</f>
        <v>#DIV/0!</v>
      </c>
      <c r="AJ44" s="22" t="e">
        <f>AVERAGE(AF44,AB44,X44,T44,P44,L44,H44)</f>
        <v>#DIV/0!</v>
      </c>
      <c r="AK44" s="22" t="e">
        <f>AVERAGE(AG44,AC44,Y44,U44,Q44,M44,I44)</f>
        <v>#DIV/0!</v>
      </c>
    </row>
    <row r="45" spans="1:37">
      <c r="A45" s="6" t="s">
        <v>27</v>
      </c>
      <c r="B45" s="20">
        <v>0.599</v>
      </c>
      <c r="C45" s="20">
        <v>0.817343119663279</v>
      </c>
      <c r="D45" s="20">
        <v>0.185360578775778</v>
      </c>
      <c r="E45" s="20">
        <v>0.155985665665666</v>
      </c>
      <c r="F45" s="20">
        <v>0.079750346740638</v>
      </c>
      <c r="G45" s="20">
        <v>0.673908674901434</v>
      </c>
      <c r="H45" s="20">
        <v>0.170577145476961</v>
      </c>
      <c r="I45" s="20">
        <v>0.177568192094313</v>
      </c>
      <c r="J45" s="20">
        <v>0.49</v>
      </c>
      <c r="K45" s="20">
        <v>0.774051120448179</v>
      </c>
      <c r="L45" s="20">
        <v>0.226415243444445</v>
      </c>
      <c r="M45" s="20">
        <v>0.174536665166666</v>
      </c>
      <c r="N45" s="20">
        <v>0.864045864045864</v>
      </c>
      <c r="O45" s="20">
        <v>0.739833266716153</v>
      </c>
      <c r="P45" s="20">
        <v>0.225538201838202</v>
      </c>
      <c r="Q45" s="20">
        <v>0.285582854763854</v>
      </c>
      <c r="R45" s="20">
        <v>0.392857142857142</v>
      </c>
      <c r="S45" s="20">
        <v>0.555637951203208</v>
      </c>
      <c r="T45" s="20">
        <v>0.321577008928571</v>
      </c>
      <c r="U45" s="20">
        <v>0.283861607142857</v>
      </c>
      <c r="V45" s="20">
        <v>0.448</v>
      </c>
      <c r="W45" s="20">
        <v>0.675759009446169</v>
      </c>
      <c r="X45" s="20">
        <v>0.294500122222222</v>
      </c>
      <c r="Y45" s="20">
        <v>0.25001</v>
      </c>
      <c r="Z45" s="20">
        <v>0.846095526914329</v>
      </c>
      <c r="AA45" s="20">
        <v>0.773840422338753</v>
      </c>
      <c r="AB45" s="20">
        <v>0.105001297279083</v>
      </c>
      <c r="AC45" s="20">
        <v>0.0981602223907</v>
      </c>
      <c r="AD45" s="20">
        <v>0.514</v>
      </c>
      <c r="AE45" s="20">
        <v>0.795903988727162</v>
      </c>
      <c r="AF45" s="20">
        <v>0.213415091506172</v>
      </c>
      <c r="AG45" s="20">
        <v>0.198892444444444</v>
      </c>
      <c r="AH45" s="22">
        <f>AVERAGE(B45,Z45,V45,R45,N45,J45,F45)</f>
        <v>0.531392697222568</v>
      </c>
      <c r="AI45" s="22">
        <f>AVERAGE(C45,AA45,W45,S45,O45,K45,G45)</f>
        <v>0.715767652102454</v>
      </c>
      <c r="AJ45" s="22">
        <f>AVERAGE(D45,AB45,X45,T45,P45,L45,H45)</f>
        <v>0.218424228280752</v>
      </c>
      <c r="AK45" s="22">
        <f>AVERAGE(E45,AC45,Y45,U45,Q45,M45,I45)</f>
        <v>0.203672172460579</v>
      </c>
    </row>
    <row r="46" spans="1:37">
      <c r="A46" s="31" t="s">
        <v>28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2" t="e">
        <f>AVERAGE(B46,Z46,V46,R46,N46,J46,F46)</f>
        <v>#DIV/0!</v>
      </c>
      <c r="AI46" s="22" t="e">
        <f>AVERAGE(C46,AA46,W46,S46,O46,K46,G46)</f>
        <v>#DIV/0!</v>
      </c>
      <c r="AJ46" s="22" t="e">
        <f>AVERAGE(D46,AB46,X46,T46,P46,L46,H46)</f>
        <v>#DIV/0!</v>
      </c>
      <c r="AK46" s="22" t="e">
        <f>AVERAGE(E46,AC46,Y46,U46,Q46,M46,I46)</f>
        <v>#DIV/0!</v>
      </c>
    </row>
    <row r="47" spans="1:37">
      <c r="A47" s="31" t="s">
        <v>29</v>
      </c>
      <c r="B47" s="20">
        <v>0.615</v>
      </c>
      <c r="C47" s="20">
        <v>0.781828740365325</v>
      </c>
      <c r="D47" s="20">
        <v>0.21092440533</v>
      </c>
      <c r="E47" s="20">
        <v>0.203806699999999</v>
      </c>
      <c r="F47" s="20">
        <v>0.09500693481276</v>
      </c>
      <c r="G47" s="20">
        <v>0.572767103877096</v>
      </c>
      <c r="H47" s="20">
        <v>0.184885994105409</v>
      </c>
      <c r="I47" s="20">
        <v>0.200303791030975</v>
      </c>
      <c r="J47" s="20">
        <v>0.4955</v>
      </c>
      <c r="K47" s="20">
        <v>0.721920975599023</v>
      </c>
      <c r="L47" s="20">
        <v>0.272423652885</v>
      </c>
      <c r="M47" s="20">
        <v>0.23755615</v>
      </c>
      <c r="N47" s="20">
        <v>0.77067977067977</v>
      </c>
      <c r="O47" s="20">
        <v>0.586479049643236</v>
      </c>
      <c r="P47" s="20">
        <v>0.454282147927927</v>
      </c>
      <c r="Q47" s="20">
        <v>0.479011302211302</v>
      </c>
      <c r="R47" s="20">
        <v>0.345982142857142</v>
      </c>
      <c r="S47" s="20">
        <v>0.515644610811406</v>
      </c>
      <c r="T47" s="20">
        <v>0.321333928683035</v>
      </c>
      <c r="U47" s="20">
        <v>0.304998883928571</v>
      </c>
      <c r="V47" s="20">
        <v>0.464</v>
      </c>
      <c r="W47" s="20">
        <v>0.649685972079258</v>
      </c>
      <c r="X47" s="20">
        <v>0.33994890441</v>
      </c>
      <c r="Y47" s="20">
        <v>0.3196059</v>
      </c>
      <c r="Z47" s="20">
        <v>0.857467778620166</v>
      </c>
      <c r="AA47" s="20">
        <v>0.725426566585774</v>
      </c>
      <c r="AB47" s="20">
        <v>0.101252548544351</v>
      </c>
      <c r="AC47" s="20">
        <v>0.0959777862016678</v>
      </c>
      <c r="AD47" s="20">
        <v>0.476</v>
      </c>
      <c r="AE47" s="20">
        <v>0.784230867919687</v>
      </c>
      <c r="AF47" s="20">
        <v>0.23900901144</v>
      </c>
      <c r="AG47" s="20">
        <v>0.2311128</v>
      </c>
      <c r="AH47" s="22">
        <f>AVERAGE(B47,Z47,V47,R47,N47,J47,F47)</f>
        <v>0.520519518138548</v>
      </c>
      <c r="AI47" s="22">
        <f>AVERAGE(C47,AA47,W47,S47,O47,K47,G47)</f>
        <v>0.650536145565874</v>
      </c>
      <c r="AJ47" s="22">
        <f>AVERAGE(D47,AB47,X47,T47,P47,L47,H47)</f>
        <v>0.269293083126532</v>
      </c>
      <c r="AK47" s="22">
        <f>AVERAGE(E47,AC47,Y47,U47,Q47,M47,I47)</f>
        <v>0.263037216196074</v>
      </c>
    </row>
    <row r="48" spans="1:37">
      <c r="A48" s="18" t="s">
        <v>34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</row>
    <row r="49" spans="1:37">
      <c r="A49" s="5" t="s">
        <v>21</v>
      </c>
      <c r="B49" s="20">
        <v>0.614</v>
      </c>
      <c r="C49" s="20">
        <v>0.552387301480143</v>
      </c>
      <c r="D49" s="20">
        <v>0.378925399999999</v>
      </c>
      <c r="E49" s="20">
        <v>0.38118</v>
      </c>
      <c r="F49" s="21">
        <f t="shared" ref="F49:I49" si="12">F20</f>
        <v>0.118354137771613</v>
      </c>
      <c r="G49" s="21">
        <f t="shared" si="12"/>
        <v>0.608906434353696</v>
      </c>
      <c r="H49" s="21">
        <f t="shared" si="12"/>
        <v>0.707916088765603</v>
      </c>
      <c r="I49" s="21">
        <f t="shared" si="12"/>
        <v>0.767267683772538</v>
      </c>
      <c r="J49" s="21">
        <f t="shared" ref="J49:U49" si="13">J20</f>
        <v>0.5805</v>
      </c>
      <c r="K49" s="21">
        <f t="shared" si="13"/>
        <v>0.576300279546115</v>
      </c>
      <c r="L49" s="21">
        <f t="shared" si="13"/>
        <v>0.40117125</v>
      </c>
      <c r="M49" s="21">
        <f t="shared" si="13"/>
        <v>0.405724999999999</v>
      </c>
      <c r="N49" s="21">
        <f t="shared" si="13"/>
        <v>0.886977886977886</v>
      </c>
      <c r="O49" s="21">
        <f t="shared" si="13"/>
        <v>0.68519076103684</v>
      </c>
      <c r="P49" s="21">
        <f t="shared" si="13"/>
        <v>0.10002457002457</v>
      </c>
      <c r="Q49" s="21">
        <f t="shared" si="13"/>
        <v>0.0753480753480753</v>
      </c>
      <c r="R49" s="21">
        <f t="shared" si="13"/>
        <v>0.475446428571428</v>
      </c>
      <c r="S49" s="21">
        <f t="shared" si="13"/>
        <v>0.531045849565478</v>
      </c>
      <c r="T49" s="21">
        <f t="shared" si="13"/>
        <v>0.481640625</v>
      </c>
      <c r="U49" s="21">
        <f t="shared" si="13"/>
        <v>0.481026785714285</v>
      </c>
      <c r="V49" s="21">
        <f>B20</f>
        <v>0.449</v>
      </c>
      <c r="W49" s="21">
        <f>C20</f>
        <v>0.523530814595046</v>
      </c>
      <c r="X49" s="21">
        <f>D20</f>
        <v>0.5431775</v>
      </c>
      <c r="Y49" s="21">
        <f>E20</f>
        <v>0.54615</v>
      </c>
      <c r="Z49" s="21">
        <f>Z20</f>
        <v>0.805155420773313</v>
      </c>
      <c r="AA49" s="21">
        <f>AA20</f>
        <v>0.510249730704126</v>
      </c>
      <c r="AB49" s="21">
        <f>AB20</f>
        <v>0.194412433661865</v>
      </c>
      <c r="AC49" s="21">
        <f>AC20</f>
        <v>0.194465504169825</v>
      </c>
      <c r="AD49" s="26">
        <f>V20</f>
        <v>0.6</v>
      </c>
      <c r="AE49" s="26">
        <f>W20</f>
        <v>0.505866666666666</v>
      </c>
      <c r="AF49" s="26">
        <f>X20</f>
        <v>0.39886</v>
      </c>
      <c r="AG49" s="26">
        <f>Y20</f>
        <v>0.399</v>
      </c>
      <c r="AH49" s="25">
        <f t="shared" ref="AH49:AK49" si="14">AVERAGE(B49,Z49,V49,R49,N49,J49,F49)</f>
        <v>0.561347696299177</v>
      </c>
      <c r="AI49" s="25">
        <f t="shared" si="14"/>
        <v>0.569658738754492</v>
      </c>
      <c r="AJ49" s="25">
        <f t="shared" si="14"/>
        <v>0.401038266778862</v>
      </c>
      <c r="AK49" s="25">
        <f t="shared" si="14"/>
        <v>0.407309007000675</v>
      </c>
    </row>
    <row r="50" spans="1:37">
      <c r="A50" s="5" t="s">
        <v>22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5" t="e">
        <f t="shared" ref="AH50:AH55" si="15">AVERAGE(AD50,Z50,V50,R50,N50,J50,F50)</f>
        <v>#DIV/0!</v>
      </c>
      <c r="AI50" s="25" t="e">
        <f t="shared" ref="AI50:AI55" si="16">AVERAGE(AE50,AA50,W50,S50,O50,K50,G50)</f>
        <v>#DIV/0!</v>
      </c>
      <c r="AJ50" s="25" t="e">
        <f t="shared" ref="AJ50:AJ55" si="17">AVERAGE(AF50,AB50,X50,T50,P50,L50,H50)</f>
        <v>#DIV/0!</v>
      </c>
      <c r="AK50" s="25" t="e">
        <f t="shared" ref="AK50:AK55" si="18">AVERAGE(AG50,AC50,Y50,U50,Q50,M50,I50)</f>
        <v>#DIV/0!</v>
      </c>
    </row>
    <row r="51" spans="1:37">
      <c r="A51" s="5" t="s">
        <v>23</v>
      </c>
      <c r="B51" s="2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5" t="e">
        <f t="shared" si="15"/>
        <v>#DIV/0!</v>
      </c>
      <c r="AI51" s="25" t="e">
        <f t="shared" si="16"/>
        <v>#DIV/0!</v>
      </c>
      <c r="AJ51" s="25" t="e">
        <f t="shared" si="17"/>
        <v>#DIV/0!</v>
      </c>
      <c r="AK51" s="25" t="e">
        <f t="shared" si="18"/>
        <v>#DIV/0!</v>
      </c>
    </row>
    <row r="52" spans="1:37">
      <c r="A52" s="5" t="s">
        <v>24</v>
      </c>
      <c r="B52" s="26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5" t="e">
        <f t="shared" si="15"/>
        <v>#DIV/0!</v>
      </c>
      <c r="AI52" s="25" t="e">
        <f t="shared" si="16"/>
        <v>#DIV/0!</v>
      </c>
      <c r="AJ52" s="25" t="e">
        <f t="shared" si="17"/>
        <v>#DIV/0!</v>
      </c>
      <c r="AK52" s="25" t="e">
        <f t="shared" si="18"/>
        <v>#DIV/0!</v>
      </c>
    </row>
    <row r="53" spans="1:37">
      <c r="A53" s="6" t="s">
        <v>25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5" t="e">
        <f t="shared" si="15"/>
        <v>#DIV/0!</v>
      </c>
      <c r="AI53" s="25" t="e">
        <f t="shared" si="16"/>
        <v>#DIV/0!</v>
      </c>
      <c r="AJ53" s="25" t="e">
        <f t="shared" si="17"/>
        <v>#DIV/0!</v>
      </c>
      <c r="AK53" s="25" t="e">
        <f t="shared" si="18"/>
        <v>#DIV/0!</v>
      </c>
    </row>
    <row r="54" spans="1:37">
      <c r="A54" s="6" t="s">
        <v>26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5" t="e">
        <f t="shared" si="15"/>
        <v>#DIV/0!</v>
      </c>
      <c r="AI54" s="25" t="e">
        <f t="shared" si="16"/>
        <v>#DIV/0!</v>
      </c>
      <c r="AJ54" s="25" t="e">
        <f t="shared" si="17"/>
        <v>#DIV/0!</v>
      </c>
      <c r="AK54" s="25" t="e">
        <f t="shared" si="18"/>
        <v>#DIV/0!</v>
      </c>
    </row>
    <row r="55" spans="1:37">
      <c r="A55" s="31" t="s">
        <v>28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0"/>
      <c r="W55" s="20"/>
      <c r="X55" s="20"/>
      <c r="Y55" s="20"/>
      <c r="Z55" s="21"/>
      <c r="AA55" s="21"/>
      <c r="AB55" s="21"/>
      <c r="AC55" s="21"/>
      <c r="AD55" s="21"/>
      <c r="AE55" s="21"/>
      <c r="AF55" s="21"/>
      <c r="AG55" s="21"/>
      <c r="AH55" s="25" t="e">
        <f t="shared" si="15"/>
        <v>#DIV/0!</v>
      </c>
      <c r="AI55" s="25" t="e">
        <f t="shared" si="16"/>
        <v>#DIV/0!</v>
      </c>
      <c r="AJ55" s="25" t="e">
        <f t="shared" si="17"/>
        <v>#DIV/0!</v>
      </c>
      <c r="AK55" s="25" t="e">
        <f t="shared" si="18"/>
        <v>#DIV/0!</v>
      </c>
    </row>
    <row r="56" spans="1:37">
      <c r="A56" s="1" t="s">
        <v>37</v>
      </c>
    </row>
  </sheetData>
  <mergeCells count="36">
    <mergeCell ref="B1:AH1"/>
    <mergeCell ref="B2:E2"/>
    <mergeCell ref="F2:AG2"/>
    <mergeCell ref="B3:E3"/>
    <mergeCell ref="F3:I3"/>
    <mergeCell ref="J3:M3"/>
    <mergeCell ref="N3:Q3"/>
    <mergeCell ref="R3:U3"/>
    <mergeCell ref="V3:Y3"/>
    <mergeCell ref="Z3:AC3"/>
    <mergeCell ref="AD3:AG3"/>
    <mergeCell ref="A5:AK5"/>
    <mergeCell ref="A19:AK19"/>
    <mergeCell ref="B34:AK34"/>
    <mergeCell ref="B35:E35"/>
    <mergeCell ref="F35:AG35"/>
    <mergeCell ref="B36:E36"/>
    <mergeCell ref="F36:I36"/>
    <mergeCell ref="J36:M36"/>
    <mergeCell ref="N36:Q36"/>
    <mergeCell ref="R36:U36"/>
    <mergeCell ref="V36:Y36"/>
    <mergeCell ref="Z36:AC36"/>
    <mergeCell ref="AD36:AG36"/>
    <mergeCell ref="A38:AK38"/>
    <mergeCell ref="A48:AK48"/>
    <mergeCell ref="A1:A4"/>
    <mergeCell ref="A34:A37"/>
    <mergeCell ref="AH2:AH4"/>
    <mergeCell ref="AH35:AH37"/>
    <mergeCell ref="AI2:AI4"/>
    <mergeCell ref="AI35:AI37"/>
    <mergeCell ref="AJ2:AJ4"/>
    <mergeCell ref="AJ35:AJ37"/>
    <mergeCell ref="AK2:AK4"/>
    <mergeCell ref="AK35:AK3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RLCR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fanghaotian</cp:lastModifiedBy>
  <dcterms:created xsi:type="dcterms:W3CDTF">2025-12-24T01:23:00Z</dcterms:created>
  <dcterms:modified xsi:type="dcterms:W3CDTF">2025-12-23T16:13:51Z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5FB7C0BB02A00502051F4A698841109B_43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